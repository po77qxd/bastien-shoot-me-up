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hoot-me-up\bastien-shoot-me-up\"/>
    </mc:Choice>
  </mc:AlternateContent>
  <xr:revisionPtr revIDLastSave="0" documentId="13_ncr:1_{B886BCF6-074F-459F-BFF8-CC8D70C40919}" xr6:coauthVersionLast="47" xr6:coauthVersionMax="47" xr10:uidLastSave="{00000000-0000-0000-0000-000000000000}"/>
  <bookViews>
    <workbookView xWindow="2730" yWindow="2730" windowWidth="21600" windowHeight="11385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48" i="12"/>
  <c r="C47" i="12"/>
  <c r="C46" i="12"/>
  <c r="C45" i="12"/>
  <c r="C44" i="12"/>
  <c r="C43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20" i="10"/>
  <c r="C79" i="10"/>
  <c r="C55" i="10"/>
  <c r="C80" i="10"/>
  <c r="C56" i="10"/>
  <c r="C68" i="10"/>
  <c r="C44" i="10"/>
  <c r="C43" i="10"/>
  <c r="C31" i="10"/>
  <c r="C19" i="10"/>
  <c r="C32" i="10"/>
  <c r="C67" i="10"/>
  <c r="C54" i="10"/>
  <c r="C52" i="10"/>
  <c r="C29" i="10"/>
  <c r="C24" i="10"/>
  <c r="C88" i="10"/>
  <c r="C36" i="10"/>
  <c r="C60" i="10"/>
  <c r="C12" i="10"/>
  <c r="C72" i="10"/>
  <c r="C53" i="10"/>
  <c r="C11" i="15"/>
  <c r="C48" i="10"/>
  <c r="C89" i="10"/>
  <c r="C64" i="10"/>
  <c r="C96" i="10"/>
  <c r="C84" i="10"/>
  <c r="C65" i="10"/>
  <c r="C16" i="10"/>
  <c r="C30" i="10"/>
  <c r="C28" i="10"/>
  <c r="C11" i="16"/>
  <c r="C77" i="10"/>
  <c r="C42" i="10"/>
  <c r="C40" i="10"/>
  <c r="C78" i="10"/>
  <c r="C17" i="10"/>
  <c r="C41" i="10"/>
  <c r="C4" i="10"/>
  <c r="C6" i="10"/>
  <c r="C76" i="10"/>
  <c r="C5" i="10"/>
  <c r="C18" i="10"/>
  <c r="C66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5" i="12"/>
  <c r="C4" i="12"/>
  <c r="C12" i="12"/>
  <c r="C18" i="12"/>
  <c r="C17" i="12"/>
  <c r="C42" i="12"/>
  <c r="C30" i="12"/>
  <c r="C41" i="12"/>
  <c r="C28" i="12"/>
  <c r="C36" i="12"/>
  <c r="C29" i="12"/>
  <c r="C40" i="12"/>
  <c r="C16" i="12"/>
  <c r="C24" i="12"/>
  <c r="C4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<sst xmlns="http://schemas.openxmlformats.org/spreadsheetml/2006/main" count="355" uniqueCount="69">
  <si>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</si>
  <si>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</si>
  <si>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</si>
  <si>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</si>
  <si>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</si>
  <si>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</si>
  <si>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</si>
  <si>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</si>
  <si>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</si>
  <si>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</si>
  <si>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</si>
  <si>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</si>
  <si>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</si>
  <si>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</si>
  <si>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</si>
  <si>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</si>
  <si>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</si>
  <si>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</si>
  <si>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</si>
  <si>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</si>
  <si>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</si>
  <si>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</si>
  <si>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</si>
  <si>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</si>
  <si>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</si>
  <si>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</si>
  <si>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</si>
  <si>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</si>
  <si>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</si>
  <si>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</si>
  <si>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</si>
  <si>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</si>
  <si>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</si>
  <si>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</si>
  <si>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</si>
  <si>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</si>
  <si>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</si>
  <si>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</si>
  <si>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</si>
  <si>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</si>
  <si>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</si>
  <si>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</si>
  <si>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</si>
  <si>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</si>
  <si>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</si>
  <si>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</si>
  <si>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</si>
  <si>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</si>
  <si>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</si>
  <si>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</si>
  <si>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</si>
  <si>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</si>
  <si>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db - MCD/MLD</t>
  </si>
  <si>
    <t>création du repo, des fichiers (rapport, jdt)</t>
  </si>
  <si>
    <t>création du MCD avec looping</t>
  </si>
  <si>
    <t>Séquence 4</t>
  </si>
  <si>
    <t>vendredi, 30 août 2024</t>
  </si>
  <si>
    <t>Séquence 8</t>
  </si>
  <si>
    <t>Séquence 7</t>
  </si>
  <si>
    <t>Séquence 6</t>
  </si>
  <si>
    <t>Séquence 5</t>
  </si>
  <si>
    <t>journal de travail</t>
  </si>
  <si>
    <t>MCD avec Looping</t>
  </si>
  <si>
    <t>16h30min</t>
  </si>
  <si>
    <t>lien vers les fichiers sql, role pour la DB</t>
  </si>
  <si>
    <t>mcd avec looping, noms mis aux normes de l'ETML</t>
  </si>
  <si>
    <t>modification du mcd pour respecter les normes etml, création du fichier de données</t>
  </si>
  <si>
    <t>7h5min</t>
  </si>
  <si>
    <t>- 9h25min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</si>
</sst>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2" fillId="18" borderId="22" xfId="0" applyFont="1" applyFill="1" applyBorder="1"/>
    <xf numFmtId="0" fontId="2" fillId="18" borderId="80" xfId="0" applyFont="1" applyFill="1" applyBorder="1"/>
    <xf numFmtId="0" fontId="2" fillId="17" borderId="77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db - MCD/MLD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12.670000076293945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1.5</c:v>
              </c:pt>
              <c:pt idx="2">
                <c:v>0</c:v>
              </c:pt>
              <c:pt idx="3">
                <c:v>0.33000001311302185</c:v>
              </c:pt>
              <c:pt idx="4">
                <c:v>0.57999998331069946</c:v>
              </c:pt>
              <c:pt idx="5">
                <c:v>4.6700000762939453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219075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34</v>
      </c>
      <c r="C35" s="182"/>
      <c r="D35" s="182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35</v>
      </c>
      <c r="C37" s="183"/>
      <c r="D37" s="183"/>
      <c r="E37" s="109" t="s">
        <v>67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8" t="s">
        <v>68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7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14" t="s">
        <v>31</v>
      </c>
      <c r="D1" s="214"/>
      <c r="E1" s="21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15"/>
      <c r="D7" s="215"/>
      <c r="E7" s="21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6" t="str">
        <f>E96</f>
        <v>16h30min</v>
      </c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119"/>
      <c r="W9" s="213" t="s">
        <v>23</v>
      </c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06" t="str">
        <f>E98</f>
        <v>7h10min</v>
      </c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  <c r="BY10" s="203"/>
      <c r="BZ10" s="203"/>
      <c r="CA10" s="203"/>
      <c r="CB10" s="203"/>
      <c r="CC10" s="203"/>
      <c r="CD10" s="203"/>
      <c r="CE10" s="203"/>
      <c r="CF10" s="203"/>
      <c r="CG10" s="203"/>
      <c r="CH10" s="203"/>
      <c r="CI10" s="203"/>
      <c r="CJ10" s="203"/>
      <c r="CK10" s="203"/>
      <c r="CL10" s="203"/>
      <c r="CM10" s="203"/>
      <c r="CN10" s="203"/>
      <c r="CO10" s="203"/>
      <c r="CP10" s="203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184"/>
      <c r="GE10" s="184"/>
      <c r="GF10" s="184"/>
      <c r="GG10" s="184"/>
      <c r="GH10" s="184"/>
      <c r="GI10" s="184"/>
      <c r="GJ10" s="184"/>
      <c r="GK10" s="184"/>
      <c r="GL10" s="184"/>
      <c r="GM10" s="184"/>
      <c r="GN10" s="184"/>
      <c r="GO10" s="184"/>
      <c r="GP10" s="184"/>
      <c r="GQ10" s="184"/>
      <c r="GR10" s="184"/>
      <c r="GS10" s="184"/>
      <c r="GT10" s="184"/>
      <c r="GU10" s="184"/>
      <c r="GV10" s="184"/>
      <c r="GW10" s="184"/>
      <c r="GX10" s="184"/>
      <c r="GY10" s="184"/>
      <c r="GZ10" s="184"/>
      <c r="HA10" s="184"/>
      <c r="HB10" s="184"/>
      <c r="HC10" s="184"/>
      <c r="HD10" s="184"/>
      <c r="HE10" s="184"/>
      <c r="HF10" s="184"/>
      <c r="HG10" s="184"/>
      <c r="HH10" s="184"/>
      <c r="HI10" s="184"/>
      <c r="HJ10" s="184"/>
      <c r="HK10" s="184"/>
      <c r="HL10" s="184"/>
      <c r="HM10" s="184"/>
      <c r="HN10" s="184"/>
      <c r="HO10" s="184"/>
      <c r="HP10" s="184"/>
      <c r="HQ10" s="184"/>
      <c r="HR10" s="184"/>
      <c r="HS10" s="184"/>
      <c r="HT10" s="184"/>
      <c r="HU10" s="184"/>
      <c r="HV10" s="184"/>
      <c r="HW10" s="184"/>
      <c r="HX10" s="184"/>
      <c r="HY10" s="184"/>
      <c r="HZ10" s="184"/>
      <c r="IA10" s="184"/>
      <c r="IB10" s="184"/>
      <c r="IC10" s="184"/>
      <c r="ID10" s="184"/>
      <c r="IE10" s="184"/>
      <c r="IF10" s="184"/>
      <c r="IG10" s="184"/>
      <c r="IH10" s="184"/>
      <c r="II10" s="184"/>
      <c r="IJ10" s="184"/>
      <c r="IK10" s="184"/>
      <c r="IL10" s="184"/>
      <c r="IM10" s="184"/>
      <c r="IN10" s="184"/>
      <c r="IO10" s="184"/>
      <c r="IP10" s="184"/>
      <c r="IQ10" s="184"/>
      <c r="IR10" s="184"/>
      <c r="IS10" s="184"/>
      <c r="IT10" s="184"/>
      <c r="IU10" s="184"/>
      <c r="IV10" s="184"/>
      <c r="IW10" s="184"/>
      <c r="IX10" s="184"/>
      <c r="IY10" s="184"/>
      <c r="IZ10" s="184"/>
      <c r="JA10" s="184"/>
      <c r="JB10" s="184"/>
      <c r="JC10" s="184"/>
      <c r="JD10" s="184"/>
      <c r="JE10" s="184"/>
      <c r="JF10" s="184"/>
      <c r="JG10" s="184"/>
      <c r="JH10" s="184"/>
      <c r="JI10" s="184"/>
      <c r="JJ10" s="184"/>
      <c r="JK10" s="184"/>
      <c r="JL10" s="184"/>
      <c r="JM10" s="184"/>
      <c r="JN10" s="184"/>
      <c r="JO10" s="184"/>
      <c r="JP10" s="184"/>
      <c r="JQ10" s="184"/>
      <c r="JR10" s="184"/>
      <c r="JS10" s="184"/>
      <c r="JT10" s="184"/>
      <c r="JU10" s="184"/>
      <c r="JV10" s="184"/>
      <c r="JW10" s="184"/>
      <c r="JX10" s="184"/>
      <c r="JY10" s="184"/>
      <c r="JZ10" s="184"/>
      <c r="KA10" s="184"/>
      <c r="KB10" s="184"/>
      <c r="KC10" s="184"/>
      <c r="KD10" s="184"/>
      <c r="KE10" s="184"/>
      <c r="KF10" s="184"/>
      <c r="KG10" s="184"/>
      <c r="KH10" s="184"/>
      <c r="KI10" s="184"/>
      <c r="KJ10" s="184"/>
      <c r="KK10" s="184"/>
      <c r="KL10" s="184"/>
      <c r="KM10" s="184"/>
      <c r="KN10" s="184"/>
      <c r="KO10" s="184"/>
      <c r="KP10" s="184"/>
      <c r="KQ10" s="184"/>
      <c r="KR10" s="184"/>
      <c r="KS10" s="184"/>
      <c r="KT10" s="184"/>
      <c r="KU10" s="184"/>
      <c r="KV10" s="184"/>
      <c r="KW10" s="184"/>
      <c r="KX10" s="184"/>
      <c r="KY10" s="184"/>
      <c r="KZ10" s="184"/>
      <c r="LA10" s="184"/>
      <c r="LB10" s="184"/>
      <c r="LC10" s="184"/>
      <c r="LD10" s="184"/>
      <c r="LE10" s="184"/>
      <c r="LF10" s="184"/>
      <c r="LG10" s="184"/>
      <c r="LH10" s="184"/>
      <c r="LI10" s="184"/>
      <c r="LJ10" s="184"/>
      <c r="LK10" s="184"/>
      <c r="LL10" s="184"/>
      <c r="LM10" s="184"/>
      <c r="LN10" s="184"/>
      <c r="LO10" s="184"/>
      <c r="LP10" s="184"/>
      <c r="LQ10" s="184"/>
      <c r="LR10" s="184"/>
      <c r="LS10" s="184"/>
      <c r="LT10" s="184"/>
      <c r="LU10" s="184"/>
      <c r="LV10" s="184"/>
      <c r="LW10" s="184"/>
      <c r="LX10" s="184"/>
      <c r="LY10" s="184"/>
      <c r="LZ10" s="184"/>
      <c r="MA10" s="184"/>
      <c r="MB10" s="184"/>
      <c r="MC10" s="184"/>
      <c r="MD10" s="184"/>
      <c r="ME10" s="184"/>
      <c r="MF10" s="184"/>
      <c r="MG10" s="184"/>
      <c r="MH10" s="184"/>
      <c r="MI10" s="184"/>
      <c r="MJ10" s="184"/>
      <c r="MK10" s="184"/>
      <c r="ML10" s="184"/>
      <c r="MM10" s="184"/>
      <c r="MN10" s="184"/>
      <c r="MO10" s="184"/>
      <c r="MP10" s="184"/>
      <c r="MQ10" s="184"/>
      <c r="MR10" s="184"/>
      <c r="MS10" s="184"/>
      <c r="MT10" s="184"/>
      <c r="MU10" s="184"/>
      <c r="MV10" s="184"/>
      <c r="MW10" s="184"/>
      <c r="MX10" s="184"/>
      <c r="MY10" s="184"/>
      <c r="MZ10" s="184"/>
      <c r="NA10" s="184"/>
      <c r="NB10" s="184"/>
      <c r="NC10" s="184"/>
      <c r="ND10" s="184"/>
      <c r="NE10" s="184"/>
      <c r="NF10" s="184"/>
      <c r="NG10" s="184"/>
      <c r="NH10" s="184"/>
      <c r="NI10" s="184"/>
      <c r="NJ10" s="184"/>
      <c r="NK10" s="184"/>
      <c r="NL10" s="184"/>
      <c r="NM10" s="184"/>
      <c r="NN10" s="184"/>
      <c r="NO10" s="184"/>
      <c r="NP10" s="184"/>
      <c r="NQ10" s="184"/>
      <c r="NR10" s="184"/>
      <c r="NS10" s="184"/>
      <c r="NT10" s="184"/>
      <c r="NU10" s="184"/>
      <c r="NV10" s="184"/>
      <c r="NW10" s="184"/>
      <c r="NX10" s="184"/>
      <c r="NY10" s="184"/>
      <c r="NZ10" s="184"/>
      <c r="OA10" s="184"/>
      <c r="OB10" s="184"/>
      <c r="OC10" s="184"/>
      <c r="OD10" s="184"/>
      <c r="OE10" s="184"/>
      <c r="OF10" s="184"/>
      <c r="OG10" s="184"/>
      <c r="OH10" s="184"/>
      <c r="OI10" s="184"/>
      <c r="OJ10" s="184"/>
      <c r="OK10" s="184"/>
      <c r="OL10" s="184"/>
      <c r="OM10" s="184"/>
      <c r="ON10" s="184"/>
      <c r="OO10" s="184"/>
      <c r="OP10" s="184"/>
      <c r="OQ10" s="184"/>
      <c r="OR10" s="184"/>
      <c r="OS10" s="184"/>
      <c r="OT10" s="184"/>
      <c r="OU10" s="184"/>
      <c r="OV10" s="184"/>
      <c r="OW10" s="184"/>
      <c r="OX10" s="184"/>
      <c r="OY10" s="184"/>
      <c r="OZ10" s="184"/>
      <c r="PA10" s="184"/>
      <c r="PB10" s="184"/>
      <c r="PC10" s="184"/>
      <c r="PD10" s="184"/>
      <c r="PE10" s="184"/>
      <c r="PF10" s="184"/>
      <c r="PG10" s="184"/>
      <c r="PH10" s="184"/>
      <c r="PI10" s="184"/>
      <c r="PJ10" s="184"/>
      <c r="PK10" s="184"/>
      <c r="PL10" s="184"/>
      <c r="PM10" s="184"/>
      <c r="PN10" s="184"/>
      <c r="PO10" s="184"/>
      <c r="PP10" s="184"/>
      <c r="PQ10" s="184"/>
      <c r="PR10" s="184"/>
      <c r="PS10" s="184"/>
      <c r="PT10" s="184"/>
      <c r="PU10" s="184"/>
      <c r="PV10" s="184"/>
      <c r="PW10" s="184"/>
      <c r="PX10" s="184"/>
      <c r="PY10" s="184"/>
      <c r="PZ10" s="184"/>
      <c r="QA10" s="184"/>
      <c r="QB10" s="184"/>
      <c r="QC10" s="184"/>
      <c r="QD10" s="184"/>
      <c r="QE10" s="184"/>
      <c r="QF10" s="184"/>
      <c r="QG10" s="184"/>
      <c r="QH10" s="184"/>
      <c r="QI10" s="184"/>
      <c r="QJ10" s="184"/>
      <c r="QK10" s="184"/>
      <c r="QL10" s="184"/>
      <c r="QM10" s="184"/>
      <c r="QN10" s="184"/>
      <c r="QO10" s="184"/>
      <c r="QP10" s="184"/>
      <c r="QQ10" s="184"/>
      <c r="QR10" s="184"/>
      <c r="QS10" s="184"/>
      <c r="QT10" s="184"/>
      <c r="QU10" s="184"/>
      <c r="QV10" s="184"/>
      <c r="QW10" s="184"/>
      <c r="QX10" s="184"/>
      <c r="QY10" s="184"/>
      <c r="QZ10" s="184"/>
      <c r="RA10" s="184"/>
      <c r="RB10" s="184"/>
      <c r="RC10" s="184"/>
      <c r="RD10" s="184"/>
      <c r="RE10" s="184"/>
      <c r="RF10" s="184"/>
      <c r="RG10" s="184"/>
      <c r="RH10" s="184"/>
      <c r="RI10" s="184"/>
      <c r="RJ10" s="184"/>
      <c r="RK10" s="184"/>
      <c r="RL10" s="184"/>
      <c r="RM10" s="184"/>
      <c r="RN10" s="184"/>
      <c r="RO10" s="184"/>
      <c r="RP10" s="184"/>
      <c r="RQ10" s="184"/>
      <c r="RR10" s="90"/>
    </row>
    <row r="11" spans="1:486" ht="20.100000000000001" customHeight="1" x14ac:dyDescent="0.25">
      <c r="B11" s="96"/>
      <c r="C11" s="211"/>
      <c r="D11" s="211"/>
      <c r="E11" s="211"/>
      <c r="F11" s="204" t="s">
        <v>51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 t="s">
        <v>56</v>
      </c>
      <c r="BO11" s="204"/>
      <c r="BP11" s="204"/>
      <c r="BQ11" s="204"/>
      <c r="BR11" s="204"/>
      <c r="BS11" s="204"/>
      <c r="BT11" s="204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4"/>
      <c r="CI11" s="204"/>
      <c r="CJ11" s="204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4"/>
      <c r="DJ11" s="204"/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185" t="s">
        <v>56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 t="s">
        <v>56</v>
      </c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185" t="s">
        <v>56</v>
      </c>
      <c r="IM11" s="185"/>
      <c r="IN11" s="185"/>
      <c r="IO11" s="185"/>
      <c r="IP11" s="185"/>
      <c r="IQ11" s="185"/>
      <c r="IR11" s="185"/>
      <c r="IS11" s="185"/>
      <c r="IT11" s="185"/>
      <c r="IU11" s="185"/>
      <c r="IV11" s="185"/>
      <c r="IW11" s="185"/>
      <c r="IX11" s="185"/>
      <c r="IY11" s="185"/>
      <c r="IZ11" s="185"/>
      <c r="JA11" s="185"/>
      <c r="JB11" s="185"/>
      <c r="JC11" s="185"/>
      <c r="JD11" s="185"/>
      <c r="JE11" s="185"/>
      <c r="JF11" s="185"/>
      <c r="JG11" s="185"/>
      <c r="JH11" s="185"/>
      <c r="JI11" s="185"/>
      <c r="JJ11" s="185"/>
      <c r="JK11" s="185"/>
      <c r="JL11" s="185"/>
      <c r="JM11" s="185"/>
      <c r="JN11" s="185"/>
      <c r="JO11" s="185"/>
      <c r="JP11" s="185"/>
      <c r="JQ11" s="185"/>
      <c r="JR11" s="185"/>
      <c r="JS11" s="185"/>
      <c r="JT11" s="185"/>
      <c r="JU11" s="185"/>
      <c r="JV11" s="185"/>
      <c r="JW11" s="185"/>
      <c r="JX11" s="185"/>
      <c r="JY11" s="185"/>
      <c r="JZ11" s="185"/>
      <c r="KA11" s="185"/>
      <c r="KB11" s="185"/>
      <c r="KC11" s="185"/>
      <c r="KD11" s="185"/>
      <c r="KE11" s="185"/>
      <c r="KF11" s="185"/>
      <c r="KG11" s="185"/>
      <c r="KH11" s="185"/>
      <c r="KI11" s="185"/>
      <c r="KJ11" s="185"/>
      <c r="KK11" s="185"/>
      <c r="KL11" s="185"/>
      <c r="KM11" s="185"/>
      <c r="KN11" s="185"/>
      <c r="KO11" s="185"/>
      <c r="KP11" s="185"/>
      <c r="KQ11" s="185"/>
      <c r="KR11" s="185"/>
      <c r="KS11" s="185"/>
      <c r="KT11" s="185" t="s">
        <v>56</v>
      </c>
      <c r="KU11" s="185"/>
      <c r="KV11" s="185"/>
      <c r="KW11" s="185"/>
      <c r="KX11" s="185"/>
      <c r="KY11" s="185"/>
      <c r="KZ11" s="185"/>
      <c r="LA11" s="185"/>
      <c r="LB11" s="185"/>
      <c r="LC11" s="185"/>
      <c r="LD11" s="185"/>
      <c r="LE11" s="185"/>
      <c r="LF11" s="185"/>
      <c r="LG11" s="185"/>
      <c r="LH11" s="185"/>
      <c r="LI11" s="185"/>
      <c r="LJ11" s="185"/>
      <c r="LK11" s="185"/>
      <c r="LL11" s="185"/>
      <c r="LM11" s="185"/>
      <c r="LN11" s="185"/>
      <c r="LO11" s="185"/>
      <c r="LP11" s="185"/>
      <c r="LQ11" s="185"/>
      <c r="LR11" s="185"/>
      <c r="LS11" s="185"/>
      <c r="LT11" s="185"/>
      <c r="LU11" s="185"/>
      <c r="LV11" s="185"/>
      <c r="LW11" s="185"/>
      <c r="LX11" s="185"/>
      <c r="LY11" s="185"/>
      <c r="LZ11" s="185"/>
      <c r="MA11" s="185"/>
      <c r="MB11" s="185"/>
      <c r="MC11" s="185"/>
      <c r="MD11" s="185"/>
      <c r="ME11" s="185"/>
      <c r="MF11" s="185"/>
      <c r="MG11" s="185"/>
      <c r="MH11" s="185"/>
      <c r="MI11" s="185"/>
      <c r="MJ11" s="185"/>
      <c r="MK11" s="185"/>
      <c r="ML11" s="185"/>
      <c r="MM11" s="185"/>
      <c r="MN11" s="185"/>
      <c r="MO11" s="185"/>
      <c r="MP11" s="185"/>
      <c r="MQ11" s="185"/>
      <c r="MR11" s="185"/>
      <c r="MS11" s="185"/>
      <c r="MT11" s="185"/>
      <c r="MU11" s="185"/>
      <c r="MV11" s="185"/>
      <c r="MW11" s="185"/>
      <c r="MX11" s="185"/>
      <c r="MY11" s="185"/>
      <c r="MZ11" s="185"/>
      <c r="NA11" s="185"/>
      <c r="NB11" s="185" t="s">
        <v>56</v>
      </c>
      <c r="NC11" s="185"/>
      <c r="ND11" s="185"/>
      <c r="NE11" s="185"/>
      <c r="NF11" s="185"/>
      <c r="NG11" s="185"/>
      <c r="NH11" s="185"/>
      <c r="NI11" s="185"/>
      <c r="NJ11" s="185"/>
      <c r="NK11" s="185"/>
      <c r="NL11" s="185"/>
      <c r="NM11" s="185"/>
      <c r="NN11" s="185"/>
      <c r="NO11" s="185"/>
      <c r="NP11" s="185"/>
      <c r="NQ11" s="185"/>
      <c r="NR11" s="185"/>
      <c r="NS11" s="185"/>
      <c r="NT11" s="185"/>
      <c r="NU11" s="185"/>
      <c r="NV11" s="185"/>
      <c r="NW11" s="185"/>
      <c r="NX11" s="185"/>
      <c r="NY11" s="185"/>
      <c r="NZ11" s="185"/>
      <c r="OA11" s="185"/>
      <c r="OB11" s="185"/>
      <c r="OC11" s="185"/>
      <c r="OD11" s="185"/>
      <c r="OE11" s="185"/>
      <c r="OF11" s="185"/>
      <c r="OG11" s="185"/>
      <c r="OH11" s="185"/>
      <c r="OI11" s="185"/>
      <c r="OJ11" s="185"/>
      <c r="OK11" s="185"/>
      <c r="OL11" s="185"/>
      <c r="OM11" s="185"/>
      <c r="ON11" s="185"/>
      <c r="OO11" s="185"/>
      <c r="OP11" s="185"/>
      <c r="OQ11" s="185"/>
      <c r="OR11" s="185"/>
      <c r="OS11" s="185"/>
      <c r="OT11" s="185"/>
      <c r="OU11" s="185"/>
      <c r="OV11" s="185"/>
      <c r="OW11" s="185"/>
      <c r="OX11" s="185"/>
      <c r="OY11" s="185"/>
      <c r="OZ11" s="185"/>
      <c r="PA11" s="185"/>
      <c r="PB11" s="185"/>
      <c r="PC11" s="185"/>
      <c r="PD11" s="185"/>
      <c r="PE11" s="185"/>
      <c r="PF11" s="185"/>
      <c r="PG11" s="185"/>
      <c r="PH11" s="185"/>
      <c r="PI11" s="185"/>
      <c r="PJ11" s="185" t="s">
        <v>56</v>
      </c>
      <c r="PK11" s="185"/>
      <c r="PL11" s="185"/>
      <c r="PM11" s="185"/>
      <c r="PN11" s="185"/>
      <c r="PO11" s="185"/>
      <c r="PP11" s="185"/>
      <c r="PQ11" s="185"/>
      <c r="PR11" s="185"/>
      <c r="PS11" s="185"/>
      <c r="PT11" s="185"/>
      <c r="PU11" s="185"/>
      <c r="PV11" s="185"/>
      <c r="PW11" s="185"/>
      <c r="PX11" s="185"/>
      <c r="PY11" s="185"/>
      <c r="PZ11" s="185"/>
      <c r="QA11" s="185"/>
      <c r="QB11" s="185"/>
      <c r="QC11" s="185"/>
      <c r="QD11" s="185"/>
      <c r="QE11" s="185"/>
      <c r="QF11" s="185"/>
      <c r="QG11" s="185"/>
      <c r="QH11" s="185"/>
      <c r="QI11" s="185"/>
      <c r="QJ11" s="185"/>
      <c r="QK11" s="185"/>
      <c r="QL11" s="185"/>
      <c r="QM11" s="185"/>
      <c r="QN11" s="185"/>
      <c r="QO11" s="185"/>
      <c r="QP11" s="185"/>
      <c r="QQ11" s="185"/>
      <c r="QR11" s="185"/>
      <c r="QS11" s="185"/>
      <c r="QT11" s="185"/>
      <c r="QU11" s="185"/>
      <c r="QV11" s="185"/>
      <c r="QW11" s="185"/>
      <c r="QX11" s="185"/>
      <c r="QY11" s="185"/>
      <c r="QZ11" s="185"/>
      <c r="RA11" s="185"/>
      <c r="RB11" s="185"/>
      <c r="RC11" s="185"/>
      <c r="RD11" s="185"/>
      <c r="RE11" s="185"/>
      <c r="RF11" s="185"/>
      <c r="RG11" s="185"/>
      <c r="RH11" s="185"/>
      <c r="RI11" s="185"/>
      <c r="RJ11" s="185"/>
      <c r="RK11" s="185"/>
      <c r="RL11" s="185"/>
      <c r="RM11" s="185"/>
      <c r="RN11" s="185"/>
      <c r="RO11" s="185"/>
      <c r="RP11" s="185"/>
      <c r="RQ11" s="185"/>
      <c r="RR11" s="90"/>
    </row>
    <row r="12" spans="1:486" ht="15.75" customHeight="1" thickBot="1" x14ac:dyDescent="0.3">
      <c r="B12" s="97"/>
      <c r="C12" s="212"/>
      <c r="D12" s="212"/>
      <c r="E12" s="212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6"/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186"/>
      <c r="IM12" s="186"/>
      <c r="IN12" s="186"/>
      <c r="IO12" s="186"/>
      <c r="IP12" s="186"/>
      <c r="IQ12" s="186"/>
      <c r="IR12" s="186"/>
      <c r="IS12" s="186"/>
      <c r="IT12" s="186"/>
      <c r="IU12" s="186"/>
      <c r="IV12" s="186"/>
      <c r="IW12" s="186"/>
      <c r="IX12" s="186"/>
      <c r="IY12" s="186"/>
      <c r="IZ12" s="186"/>
      <c r="JA12" s="186"/>
      <c r="JB12" s="186"/>
      <c r="JC12" s="186"/>
      <c r="JD12" s="186"/>
      <c r="JE12" s="186"/>
      <c r="JF12" s="186"/>
      <c r="JG12" s="186"/>
      <c r="JH12" s="186"/>
      <c r="JI12" s="186"/>
      <c r="JJ12" s="186"/>
      <c r="JK12" s="186"/>
      <c r="JL12" s="186"/>
      <c r="JM12" s="186"/>
      <c r="JN12" s="186"/>
      <c r="JO12" s="186"/>
      <c r="JP12" s="186"/>
      <c r="JQ12" s="186"/>
      <c r="JR12" s="186"/>
      <c r="JS12" s="186"/>
      <c r="JT12" s="186"/>
      <c r="JU12" s="186"/>
      <c r="JV12" s="186"/>
      <c r="JW12" s="186"/>
      <c r="JX12" s="186"/>
      <c r="JY12" s="186"/>
      <c r="JZ12" s="186"/>
      <c r="KA12" s="186"/>
      <c r="KB12" s="186"/>
      <c r="KC12" s="186"/>
      <c r="KD12" s="186"/>
      <c r="KE12" s="186"/>
      <c r="KF12" s="186"/>
      <c r="KG12" s="186"/>
      <c r="KH12" s="186"/>
      <c r="KI12" s="186"/>
      <c r="KJ12" s="186"/>
      <c r="KK12" s="186"/>
      <c r="KL12" s="186"/>
      <c r="KM12" s="186"/>
      <c r="KN12" s="186"/>
      <c r="KO12" s="186"/>
      <c r="KP12" s="186"/>
      <c r="KQ12" s="186"/>
      <c r="KR12" s="186"/>
      <c r="KS12" s="186"/>
      <c r="KT12" s="186"/>
      <c r="KU12" s="186"/>
      <c r="KV12" s="186"/>
      <c r="KW12" s="186"/>
      <c r="KX12" s="186"/>
      <c r="KY12" s="186"/>
      <c r="KZ12" s="186"/>
      <c r="LA12" s="186"/>
      <c r="LB12" s="186"/>
      <c r="LC12" s="186"/>
      <c r="LD12" s="186"/>
      <c r="LE12" s="186"/>
      <c r="LF12" s="186"/>
      <c r="LG12" s="186"/>
      <c r="LH12" s="186"/>
      <c r="LI12" s="186"/>
      <c r="LJ12" s="186"/>
      <c r="LK12" s="186"/>
      <c r="LL12" s="186"/>
      <c r="LM12" s="186"/>
      <c r="LN12" s="186"/>
      <c r="LO12" s="186"/>
      <c r="LP12" s="186"/>
      <c r="LQ12" s="186"/>
      <c r="LR12" s="186"/>
      <c r="LS12" s="186"/>
      <c r="LT12" s="186"/>
      <c r="LU12" s="186"/>
      <c r="LV12" s="186"/>
      <c r="LW12" s="186"/>
      <c r="LX12" s="186"/>
      <c r="LY12" s="186"/>
      <c r="LZ12" s="186"/>
      <c r="MA12" s="186"/>
      <c r="MB12" s="186"/>
      <c r="MC12" s="186"/>
      <c r="MD12" s="186"/>
      <c r="ME12" s="186"/>
      <c r="MF12" s="186"/>
      <c r="MG12" s="186"/>
      <c r="MH12" s="186"/>
      <c r="MI12" s="186"/>
      <c r="MJ12" s="186"/>
      <c r="MK12" s="186"/>
      <c r="ML12" s="186"/>
      <c r="MM12" s="186"/>
      <c r="MN12" s="186"/>
      <c r="MO12" s="186"/>
      <c r="MP12" s="186"/>
      <c r="MQ12" s="186"/>
      <c r="MR12" s="186"/>
      <c r="MS12" s="186"/>
      <c r="MT12" s="186"/>
      <c r="MU12" s="186"/>
      <c r="MV12" s="186"/>
      <c r="MW12" s="186"/>
      <c r="MX12" s="186"/>
      <c r="MY12" s="186"/>
      <c r="MZ12" s="186"/>
      <c r="NA12" s="186"/>
      <c r="NB12" s="186"/>
      <c r="NC12" s="186"/>
      <c r="ND12" s="186"/>
      <c r="NE12" s="186"/>
      <c r="NF12" s="186"/>
      <c r="NG12" s="186"/>
      <c r="NH12" s="186"/>
      <c r="NI12" s="186"/>
      <c r="NJ12" s="186"/>
      <c r="NK12" s="186"/>
      <c r="NL12" s="186"/>
      <c r="NM12" s="186"/>
      <c r="NN12" s="186"/>
      <c r="NO12" s="186"/>
      <c r="NP12" s="186"/>
      <c r="NQ12" s="186"/>
      <c r="NR12" s="186"/>
      <c r="NS12" s="186"/>
      <c r="NT12" s="186"/>
      <c r="NU12" s="186"/>
      <c r="NV12" s="186"/>
      <c r="NW12" s="186"/>
      <c r="NX12" s="186"/>
      <c r="NY12" s="186"/>
      <c r="NZ12" s="186"/>
      <c r="OA12" s="186"/>
      <c r="OB12" s="186"/>
      <c r="OC12" s="186"/>
      <c r="OD12" s="186"/>
      <c r="OE12" s="186"/>
      <c r="OF12" s="186"/>
      <c r="OG12" s="186"/>
      <c r="OH12" s="186"/>
      <c r="OI12" s="186"/>
      <c r="OJ12" s="186"/>
      <c r="OK12" s="186"/>
      <c r="OL12" s="186"/>
      <c r="OM12" s="186"/>
      <c r="ON12" s="186"/>
      <c r="OO12" s="186"/>
      <c r="OP12" s="186"/>
      <c r="OQ12" s="186"/>
      <c r="OR12" s="186"/>
      <c r="OS12" s="186"/>
      <c r="OT12" s="186"/>
      <c r="OU12" s="186"/>
      <c r="OV12" s="186"/>
      <c r="OW12" s="186"/>
      <c r="OX12" s="186"/>
      <c r="OY12" s="186"/>
      <c r="OZ12" s="186"/>
      <c r="PA12" s="186"/>
      <c r="PB12" s="186"/>
      <c r="PC12" s="186"/>
      <c r="PD12" s="186"/>
      <c r="PE12" s="186"/>
      <c r="PF12" s="186"/>
      <c r="PG12" s="186"/>
      <c r="PH12" s="186"/>
      <c r="PI12" s="186"/>
      <c r="PJ12" s="186"/>
      <c r="PK12" s="186"/>
      <c r="PL12" s="186"/>
      <c r="PM12" s="186"/>
      <c r="PN12" s="186"/>
      <c r="PO12" s="186"/>
      <c r="PP12" s="186"/>
      <c r="PQ12" s="186"/>
      <c r="PR12" s="186"/>
      <c r="PS12" s="186"/>
      <c r="PT12" s="186"/>
      <c r="PU12" s="186"/>
      <c r="PV12" s="186"/>
      <c r="PW12" s="186"/>
      <c r="PX12" s="186"/>
      <c r="PY12" s="186"/>
      <c r="PZ12" s="186"/>
      <c r="QA12" s="186"/>
      <c r="QB12" s="186"/>
      <c r="QC12" s="186"/>
      <c r="QD12" s="186"/>
      <c r="QE12" s="186"/>
      <c r="QF12" s="186"/>
      <c r="QG12" s="186"/>
      <c r="QH12" s="186"/>
      <c r="QI12" s="186"/>
      <c r="QJ12" s="186"/>
      <c r="QK12" s="186"/>
      <c r="QL12" s="186"/>
      <c r="QM12" s="186"/>
      <c r="QN12" s="186"/>
      <c r="QO12" s="186"/>
      <c r="QP12" s="186"/>
      <c r="QQ12" s="186"/>
      <c r="QR12" s="186"/>
      <c r="QS12" s="186"/>
      <c r="QT12" s="186"/>
      <c r="QU12" s="186"/>
      <c r="QV12" s="186"/>
      <c r="QW12" s="186"/>
      <c r="QX12" s="186"/>
      <c r="QY12" s="186"/>
      <c r="QZ12" s="186"/>
      <c r="RA12" s="186"/>
      <c r="RB12" s="186"/>
      <c r="RC12" s="186"/>
      <c r="RD12" s="186"/>
      <c r="RE12" s="186"/>
      <c r="RF12" s="186"/>
      <c r="RG12" s="186"/>
      <c r="RH12" s="186"/>
      <c r="RI12" s="186"/>
      <c r="RJ12" s="186"/>
      <c r="RK12" s="186"/>
      <c r="RL12" s="186"/>
      <c r="RM12" s="186"/>
      <c r="RN12" s="186"/>
      <c r="RO12" s="186"/>
      <c r="RP12" s="186"/>
      <c r="RQ12" s="186"/>
      <c r="RR12" s="90"/>
    </row>
    <row r="13" spans="1:486" ht="42.75" customHeight="1" thickBot="1" x14ac:dyDescent="0.3">
      <c r="B13" s="96"/>
      <c r="C13" s="207" t="s">
        <v>7</v>
      </c>
      <c r="D13" s="144"/>
      <c r="E13" s="209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55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187" t="s">
        <v>60</v>
      </c>
      <c r="IM13" s="188"/>
      <c r="IN13" s="188"/>
      <c r="IO13" s="188"/>
      <c r="IP13" s="188"/>
      <c r="IQ13" s="188"/>
      <c r="IR13" s="188"/>
      <c r="IS13" s="188"/>
      <c r="IT13" s="188"/>
      <c r="IU13" s="188"/>
      <c r="IV13" s="188"/>
      <c r="IW13" s="188"/>
      <c r="IX13" s="188"/>
      <c r="IY13" s="188"/>
      <c r="IZ13" s="188"/>
      <c r="JA13" s="188"/>
      <c r="JB13" s="188"/>
      <c r="JC13" s="188"/>
      <c r="JD13" s="188"/>
      <c r="JE13" s="188"/>
      <c r="JF13" s="188"/>
      <c r="JG13" s="188"/>
      <c r="JH13" s="188"/>
      <c r="JI13" s="188"/>
      <c r="JJ13" s="188"/>
      <c r="JK13" s="188"/>
      <c r="JL13" s="188"/>
      <c r="JM13" s="188"/>
      <c r="JN13" s="188"/>
      <c r="JO13" s="188"/>
      <c r="JP13" s="188"/>
      <c r="JQ13" s="188"/>
      <c r="JR13" s="188"/>
      <c r="JS13" s="188"/>
      <c r="JT13" s="188"/>
      <c r="JU13" s="188"/>
      <c r="JV13" s="188"/>
      <c r="JW13" s="188"/>
      <c r="JX13" s="188"/>
      <c r="JY13" s="188"/>
      <c r="JZ13" s="188"/>
      <c r="KA13" s="188"/>
      <c r="KB13" s="188"/>
      <c r="KC13" s="188"/>
      <c r="KD13" s="188"/>
      <c r="KE13" s="188"/>
      <c r="KF13" s="188"/>
      <c r="KG13" s="188"/>
      <c r="KH13" s="188"/>
      <c r="KI13" s="188"/>
      <c r="KJ13" s="188"/>
      <c r="KK13" s="188"/>
      <c r="KL13" s="188"/>
      <c r="KM13" s="188"/>
      <c r="KN13" s="188"/>
      <c r="KO13" s="188"/>
      <c r="KP13" s="188"/>
      <c r="KQ13" s="188"/>
      <c r="KR13" s="188"/>
      <c r="KS13" s="189"/>
      <c r="KT13" s="187" t="s">
        <v>59</v>
      </c>
      <c r="KU13" s="188"/>
      <c r="KV13" s="188"/>
      <c r="KW13" s="188"/>
      <c r="KX13" s="188"/>
      <c r="KY13" s="188"/>
      <c r="KZ13" s="188"/>
      <c r="LA13" s="188"/>
      <c r="LB13" s="188"/>
      <c r="LC13" s="188"/>
      <c r="LD13" s="188"/>
      <c r="LE13" s="188"/>
      <c r="LF13" s="188"/>
      <c r="LG13" s="188"/>
      <c r="LH13" s="188"/>
      <c r="LI13" s="188"/>
      <c r="LJ13" s="188"/>
      <c r="LK13" s="188"/>
      <c r="LL13" s="188"/>
      <c r="LM13" s="188"/>
      <c r="LN13" s="188"/>
      <c r="LO13" s="188"/>
      <c r="LP13" s="188"/>
      <c r="LQ13" s="188"/>
      <c r="LR13" s="188"/>
      <c r="LS13" s="188"/>
      <c r="LT13" s="188"/>
      <c r="LU13" s="188"/>
      <c r="LV13" s="188"/>
      <c r="LW13" s="188"/>
      <c r="LX13" s="188"/>
      <c r="LY13" s="188"/>
      <c r="LZ13" s="188"/>
      <c r="MA13" s="188"/>
      <c r="MB13" s="188"/>
      <c r="MC13" s="188"/>
      <c r="MD13" s="188"/>
      <c r="ME13" s="188"/>
      <c r="MF13" s="188"/>
      <c r="MG13" s="188"/>
      <c r="MH13" s="188"/>
      <c r="MI13" s="188"/>
      <c r="MJ13" s="188"/>
      <c r="MK13" s="188"/>
      <c r="ML13" s="188"/>
      <c r="MM13" s="188"/>
      <c r="MN13" s="188"/>
      <c r="MO13" s="188"/>
      <c r="MP13" s="188"/>
      <c r="MQ13" s="188"/>
      <c r="MR13" s="188"/>
      <c r="MS13" s="188"/>
      <c r="MT13" s="188"/>
      <c r="MU13" s="188"/>
      <c r="MV13" s="188"/>
      <c r="MW13" s="188"/>
      <c r="MX13" s="188"/>
      <c r="MY13" s="188"/>
      <c r="MZ13" s="188"/>
      <c r="NA13" s="189"/>
      <c r="NB13" s="187" t="s">
        <v>58</v>
      </c>
      <c r="NC13" s="188"/>
      <c r="ND13" s="188"/>
      <c r="NE13" s="188"/>
      <c r="NF13" s="188"/>
      <c r="NG13" s="188"/>
      <c r="NH13" s="188"/>
      <c r="NI13" s="188"/>
      <c r="NJ13" s="188"/>
      <c r="NK13" s="188"/>
      <c r="NL13" s="188"/>
      <c r="NM13" s="188"/>
      <c r="NN13" s="188"/>
      <c r="NO13" s="188"/>
      <c r="NP13" s="188"/>
      <c r="NQ13" s="188"/>
      <c r="NR13" s="188"/>
      <c r="NS13" s="188"/>
      <c r="NT13" s="188"/>
      <c r="NU13" s="188"/>
      <c r="NV13" s="188"/>
      <c r="NW13" s="188"/>
      <c r="NX13" s="188"/>
      <c r="NY13" s="188"/>
      <c r="NZ13" s="188"/>
      <c r="OA13" s="188"/>
      <c r="OB13" s="188"/>
      <c r="OC13" s="188"/>
      <c r="OD13" s="188"/>
      <c r="OE13" s="188"/>
      <c r="OF13" s="188"/>
      <c r="OG13" s="188"/>
      <c r="OH13" s="188"/>
      <c r="OI13" s="188"/>
      <c r="OJ13" s="188"/>
      <c r="OK13" s="188"/>
      <c r="OL13" s="188"/>
      <c r="OM13" s="188"/>
      <c r="ON13" s="188"/>
      <c r="OO13" s="188"/>
      <c r="OP13" s="188"/>
      <c r="OQ13" s="188"/>
      <c r="OR13" s="188"/>
      <c r="OS13" s="188"/>
      <c r="OT13" s="188"/>
      <c r="OU13" s="188"/>
      <c r="OV13" s="188"/>
      <c r="OW13" s="188"/>
      <c r="OX13" s="188"/>
      <c r="OY13" s="188"/>
      <c r="OZ13" s="188"/>
      <c r="PA13" s="188"/>
      <c r="PB13" s="188"/>
      <c r="PC13" s="188"/>
      <c r="PD13" s="188"/>
      <c r="PE13" s="188"/>
      <c r="PF13" s="188"/>
      <c r="PG13" s="188"/>
      <c r="PH13" s="188"/>
      <c r="PI13" s="189"/>
      <c r="PJ13" s="187" t="s">
        <v>57</v>
      </c>
      <c r="PK13" s="188"/>
      <c r="PL13" s="188"/>
      <c r="PM13" s="188"/>
      <c r="PN13" s="188"/>
      <c r="PO13" s="188"/>
      <c r="PP13" s="188"/>
      <c r="PQ13" s="188"/>
      <c r="PR13" s="188"/>
      <c r="PS13" s="188"/>
      <c r="PT13" s="188"/>
      <c r="PU13" s="188"/>
      <c r="PV13" s="188"/>
      <c r="PW13" s="188"/>
      <c r="PX13" s="188"/>
      <c r="PY13" s="188"/>
      <c r="PZ13" s="188"/>
      <c r="QA13" s="188"/>
      <c r="QB13" s="188"/>
      <c r="QC13" s="188"/>
      <c r="QD13" s="188"/>
      <c r="QE13" s="188"/>
      <c r="QF13" s="188"/>
      <c r="QG13" s="188"/>
      <c r="QH13" s="188"/>
      <c r="QI13" s="188"/>
      <c r="QJ13" s="188"/>
      <c r="QK13" s="188"/>
      <c r="QL13" s="188"/>
      <c r="QM13" s="188"/>
      <c r="QN13" s="188"/>
      <c r="QO13" s="188"/>
      <c r="QP13" s="188"/>
      <c r="QQ13" s="188"/>
      <c r="QR13" s="188"/>
      <c r="QS13" s="188"/>
      <c r="QT13" s="188"/>
      <c r="QU13" s="188"/>
      <c r="QV13" s="188"/>
      <c r="QW13" s="188"/>
      <c r="QX13" s="188"/>
      <c r="QY13" s="188"/>
      <c r="QZ13" s="188"/>
      <c r="RA13" s="188"/>
      <c r="RB13" s="188"/>
      <c r="RC13" s="188"/>
      <c r="RD13" s="188"/>
      <c r="RE13" s="188"/>
      <c r="RF13" s="188"/>
      <c r="RG13" s="188"/>
      <c r="RH13" s="188"/>
      <c r="RI13" s="188"/>
      <c r="RJ13" s="188"/>
      <c r="RK13" s="188"/>
      <c r="RL13" s="188"/>
      <c r="RM13" s="188"/>
      <c r="RN13" s="188"/>
      <c r="RO13" s="188"/>
      <c r="RP13" s="188"/>
      <c r="RQ13" s="189"/>
      <c r="RR13" s="90"/>
    </row>
    <row r="14" spans="1:486" ht="12.75" customHeight="1" thickBot="1" x14ac:dyDescent="0.35">
      <c r="B14" s="96"/>
      <c r="C14" s="208"/>
      <c r="D14" s="145"/>
      <c r="E14" s="210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36</v>
      </c>
      <c r="GI14" s="190"/>
      <c r="GJ14" s="190"/>
      <c r="GK14" s="190"/>
      <c r="GL14" s="104"/>
      <c r="GM14" s="104"/>
      <c r="GN14" s="191" t="s">
        <v>24</v>
      </c>
      <c r="GO14" s="191"/>
      <c r="GP14" s="191"/>
      <c r="GQ14" s="191"/>
      <c r="GR14" s="129"/>
      <c r="GS14" s="129"/>
      <c r="GT14" s="190" t="s">
        <v>37</v>
      </c>
      <c r="GU14" s="190"/>
      <c r="GV14" s="190"/>
      <c r="GW14" s="190"/>
      <c r="GX14" s="104"/>
      <c r="GY14" s="104"/>
      <c r="GZ14" s="191" t="s">
        <v>25</v>
      </c>
      <c r="HA14" s="191"/>
      <c r="HB14" s="191"/>
      <c r="HC14" s="191"/>
      <c r="HD14" s="129"/>
      <c r="HE14" s="129"/>
      <c r="HF14" s="190" t="s">
        <v>38</v>
      </c>
      <c r="HG14" s="190"/>
      <c r="HH14" s="190"/>
      <c r="HI14" s="190"/>
      <c r="HJ14" s="104"/>
      <c r="HK14" s="104"/>
      <c r="HL14" s="191" t="s">
        <v>26</v>
      </c>
      <c r="HM14" s="191"/>
      <c r="HN14" s="191"/>
      <c r="HO14" s="191"/>
      <c r="HP14" s="129"/>
      <c r="HQ14" s="129"/>
      <c r="HR14" s="190" t="s">
        <v>39</v>
      </c>
      <c r="HS14" s="190"/>
      <c r="HT14" s="190"/>
      <c r="HU14" s="190"/>
      <c r="HV14" s="104"/>
      <c r="HW14" s="104"/>
      <c r="HX14" s="191" t="s">
        <v>27</v>
      </c>
      <c r="HY14" s="191"/>
      <c r="HZ14" s="191"/>
      <c r="IA14" s="191"/>
      <c r="IB14" s="129"/>
      <c r="IC14" s="129"/>
      <c r="ID14" s="190" t="s">
        <v>40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36</v>
      </c>
      <c r="IQ14" s="190"/>
      <c r="IR14" s="190"/>
      <c r="IS14" s="190"/>
      <c r="IT14" s="104"/>
      <c r="IU14" s="104"/>
      <c r="IV14" s="191" t="s">
        <v>24</v>
      </c>
      <c r="IW14" s="191"/>
      <c r="IX14" s="191"/>
      <c r="IY14" s="191"/>
      <c r="IZ14" s="129"/>
      <c r="JA14" s="129"/>
      <c r="JB14" s="190" t="s">
        <v>37</v>
      </c>
      <c r="JC14" s="190"/>
      <c r="JD14" s="190"/>
      <c r="JE14" s="190"/>
      <c r="JF14" s="104"/>
      <c r="JG14" s="104"/>
      <c r="JH14" s="191" t="s">
        <v>25</v>
      </c>
      <c r="JI14" s="191"/>
      <c r="JJ14" s="191"/>
      <c r="JK14" s="191"/>
      <c r="JL14" s="129"/>
      <c r="JM14" s="129"/>
      <c r="JN14" s="190" t="s">
        <v>38</v>
      </c>
      <c r="JO14" s="190"/>
      <c r="JP14" s="190"/>
      <c r="JQ14" s="190"/>
      <c r="JR14" s="104"/>
      <c r="JS14" s="104"/>
      <c r="JT14" s="191" t="s">
        <v>26</v>
      </c>
      <c r="JU14" s="191"/>
      <c r="JV14" s="191"/>
      <c r="JW14" s="191"/>
      <c r="JX14" s="129"/>
      <c r="JY14" s="129"/>
      <c r="JZ14" s="190" t="s">
        <v>39</v>
      </c>
      <c r="KA14" s="190"/>
      <c r="KB14" s="190"/>
      <c r="KC14" s="190"/>
      <c r="KD14" s="104"/>
      <c r="KE14" s="104"/>
      <c r="KF14" s="191" t="s">
        <v>27</v>
      </c>
      <c r="KG14" s="191"/>
      <c r="KH14" s="191"/>
      <c r="KI14" s="191"/>
      <c r="KJ14" s="129"/>
      <c r="KK14" s="129"/>
      <c r="KL14" s="190" t="s">
        <v>40</v>
      </c>
      <c r="KM14" s="190"/>
      <c r="KN14" s="190"/>
      <c r="KO14" s="190"/>
      <c r="KP14" s="104"/>
      <c r="KQ14" s="104"/>
      <c r="KR14" s="104"/>
      <c r="KS14" s="105"/>
      <c r="KT14" s="103"/>
      <c r="KU14" s="104"/>
      <c r="KV14" s="104"/>
      <c r="KW14" s="104"/>
      <c r="KX14" s="190" t="s">
        <v>36</v>
      </c>
      <c r="KY14" s="190"/>
      <c r="KZ14" s="190"/>
      <c r="LA14" s="190"/>
      <c r="LB14" s="104"/>
      <c r="LC14" s="104"/>
      <c r="LD14" s="191" t="s">
        <v>24</v>
      </c>
      <c r="LE14" s="191"/>
      <c r="LF14" s="191"/>
      <c r="LG14" s="191"/>
      <c r="LH14" s="129"/>
      <c r="LI14" s="129"/>
      <c r="LJ14" s="190" t="s">
        <v>37</v>
      </c>
      <c r="LK14" s="190"/>
      <c r="LL14" s="190"/>
      <c r="LM14" s="190"/>
      <c r="LN14" s="104"/>
      <c r="LO14" s="104"/>
      <c r="LP14" s="191" t="s">
        <v>25</v>
      </c>
      <c r="LQ14" s="191"/>
      <c r="LR14" s="191"/>
      <c r="LS14" s="191"/>
      <c r="LT14" s="129"/>
      <c r="LU14" s="129"/>
      <c r="LV14" s="190" t="s">
        <v>38</v>
      </c>
      <c r="LW14" s="190"/>
      <c r="LX14" s="190"/>
      <c r="LY14" s="190"/>
      <c r="LZ14" s="104"/>
      <c r="MA14" s="104"/>
      <c r="MB14" s="191" t="s">
        <v>26</v>
      </c>
      <c r="MC14" s="191"/>
      <c r="MD14" s="191"/>
      <c r="ME14" s="191"/>
      <c r="MF14" s="129"/>
      <c r="MG14" s="129"/>
      <c r="MH14" s="190" t="s">
        <v>39</v>
      </c>
      <c r="MI14" s="190"/>
      <c r="MJ14" s="190"/>
      <c r="MK14" s="190"/>
      <c r="ML14" s="104"/>
      <c r="MM14" s="104"/>
      <c r="MN14" s="191" t="s">
        <v>27</v>
      </c>
      <c r="MO14" s="191"/>
      <c r="MP14" s="191"/>
      <c r="MQ14" s="191"/>
      <c r="MR14" s="129"/>
      <c r="MS14" s="129"/>
      <c r="MT14" s="190" t="s">
        <v>40</v>
      </c>
      <c r="MU14" s="190"/>
      <c r="MV14" s="190"/>
      <c r="MW14" s="190"/>
      <c r="MX14" s="104"/>
      <c r="MY14" s="104"/>
      <c r="MZ14" s="104"/>
      <c r="NA14" s="105"/>
      <c r="NB14" s="103"/>
      <c r="NC14" s="104"/>
      <c r="ND14" s="104"/>
      <c r="NE14" s="104"/>
      <c r="NF14" s="190" t="s">
        <v>36</v>
      </c>
      <c r="NG14" s="190"/>
      <c r="NH14" s="190"/>
      <c r="NI14" s="190"/>
      <c r="NJ14" s="104"/>
      <c r="NK14" s="104"/>
      <c r="NL14" s="191" t="s">
        <v>24</v>
      </c>
      <c r="NM14" s="191"/>
      <c r="NN14" s="191"/>
      <c r="NO14" s="191"/>
      <c r="NP14" s="129"/>
      <c r="NQ14" s="129"/>
      <c r="NR14" s="190" t="s">
        <v>37</v>
      </c>
      <c r="NS14" s="190"/>
      <c r="NT14" s="190"/>
      <c r="NU14" s="190"/>
      <c r="NV14" s="104"/>
      <c r="NW14" s="104"/>
      <c r="NX14" s="191" t="s">
        <v>25</v>
      </c>
      <c r="NY14" s="191"/>
      <c r="NZ14" s="191"/>
      <c r="OA14" s="191"/>
      <c r="OB14" s="129"/>
      <c r="OC14" s="129"/>
      <c r="OD14" s="190" t="s">
        <v>38</v>
      </c>
      <c r="OE14" s="190"/>
      <c r="OF14" s="190"/>
      <c r="OG14" s="190"/>
      <c r="OH14" s="104"/>
      <c r="OI14" s="104"/>
      <c r="OJ14" s="191" t="s">
        <v>26</v>
      </c>
      <c r="OK14" s="191"/>
      <c r="OL14" s="191"/>
      <c r="OM14" s="191"/>
      <c r="ON14" s="129"/>
      <c r="OO14" s="129"/>
      <c r="OP14" s="190" t="s">
        <v>39</v>
      </c>
      <c r="OQ14" s="190"/>
      <c r="OR14" s="190"/>
      <c r="OS14" s="190"/>
      <c r="OT14" s="104"/>
      <c r="OU14" s="104"/>
      <c r="OV14" s="191" t="s">
        <v>27</v>
      </c>
      <c r="OW14" s="191"/>
      <c r="OX14" s="191"/>
      <c r="OY14" s="191"/>
      <c r="OZ14" s="129"/>
      <c r="PA14" s="129"/>
      <c r="PB14" s="190" t="s">
        <v>40</v>
      </c>
      <c r="PC14" s="190"/>
      <c r="PD14" s="190"/>
      <c r="PE14" s="190"/>
      <c r="PF14" s="104"/>
      <c r="PG14" s="104"/>
      <c r="PH14" s="104"/>
      <c r="PI14" s="105"/>
      <c r="PJ14" s="103"/>
      <c r="PK14" s="104"/>
      <c r="PL14" s="104"/>
      <c r="PM14" s="104"/>
      <c r="PN14" s="190" t="s">
        <v>36</v>
      </c>
      <c r="PO14" s="190"/>
      <c r="PP14" s="190"/>
      <c r="PQ14" s="190"/>
      <c r="PR14" s="104"/>
      <c r="PS14" s="104"/>
      <c r="PT14" s="191" t="s">
        <v>24</v>
      </c>
      <c r="PU14" s="191"/>
      <c r="PV14" s="191"/>
      <c r="PW14" s="191"/>
      <c r="PX14" s="129"/>
      <c r="PY14" s="129"/>
      <c r="PZ14" s="190" t="s">
        <v>37</v>
      </c>
      <c r="QA14" s="190"/>
      <c r="QB14" s="190"/>
      <c r="QC14" s="190"/>
      <c r="QD14" s="104"/>
      <c r="QE14" s="104"/>
      <c r="QF14" s="191" t="s">
        <v>25</v>
      </c>
      <c r="QG14" s="191"/>
      <c r="QH14" s="191"/>
      <c r="QI14" s="191"/>
      <c r="QJ14" s="129"/>
      <c r="QK14" s="129"/>
      <c r="QL14" s="190" t="s">
        <v>38</v>
      </c>
      <c r="QM14" s="190"/>
      <c r="QN14" s="190"/>
      <c r="QO14" s="190"/>
      <c r="QP14" s="104"/>
      <c r="QQ14" s="104"/>
      <c r="QR14" s="191" t="s">
        <v>26</v>
      </c>
      <c r="QS14" s="191"/>
      <c r="QT14" s="191"/>
      <c r="QU14" s="191"/>
      <c r="QV14" s="129"/>
      <c r="QW14" s="129"/>
      <c r="QX14" s="190" t="s">
        <v>39</v>
      </c>
      <c r="QY14" s="190"/>
      <c r="QZ14" s="190"/>
      <c r="RA14" s="190"/>
      <c r="RB14" s="104"/>
      <c r="RC14" s="104"/>
      <c r="RD14" s="191" t="s">
        <v>27</v>
      </c>
      <c r="RE14" s="191"/>
      <c r="RF14" s="191"/>
      <c r="RG14" s="191"/>
      <c r="RH14" s="129"/>
      <c r="RI14" s="129"/>
      <c r="RJ14" s="190" t="s">
        <v>40</v>
      </c>
      <c r="RK14" s="190"/>
      <c r="RL14" s="190"/>
      <c r="RM14" s="190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9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9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192" t="s">
        <v>32</v>
      </c>
      <c r="D17" s="146" t="str">
        <f t="shared" si="0"/>
        <v>0h45min</v>
      </c>
      <c r="E17" s="31">
        <v>9</v>
      </c>
      <c r="F17" s="170"/>
      <c r="G17" s="171"/>
      <c r="H17" s="171"/>
      <c r="I17" s="171"/>
      <c r="J17" s="172"/>
      <c r="K17" s="173"/>
      <c r="L17" s="172"/>
      <c r="M17" s="172"/>
      <c r="N17" s="172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198"/>
      <c r="D18" s="148" t="str">
        <f t="shared" si="0"/>
        <v>1h30min</v>
      </c>
      <c r="E18" s="35">
        <v>18</v>
      </c>
      <c r="F18" s="165"/>
      <c r="G18" s="166"/>
      <c r="H18" s="166"/>
      <c r="I18" s="166"/>
      <c r="J18" s="167"/>
      <c r="K18" s="168"/>
      <c r="L18" s="167"/>
      <c r="M18" s="167"/>
      <c r="N18" s="167"/>
      <c r="O18" s="167"/>
      <c r="P18" s="167"/>
      <c r="Q18" s="169"/>
      <c r="R18" s="167"/>
      <c r="S18" s="167"/>
      <c r="T18" s="167"/>
      <c r="U18" s="167"/>
      <c r="V18" s="167"/>
      <c r="W18" s="176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19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>db - MCD/MLD</v>
      </c>
      <c r="C20" s="19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19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74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74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74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74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72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72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172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193"/>
      <c r="D22" s="147" t="str">
        <f t="shared" si="0"/>
        <v>0h20min</v>
      </c>
      <c r="E22" s="35">
        <v>4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16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69"/>
      <c r="EH22" s="16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16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19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9"/>
      <c r="CM23" s="179"/>
      <c r="CN23" s="179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9"/>
      <c r="EU23" s="179"/>
      <c r="EV23" s="179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9"/>
      <c r="HC23" s="179"/>
      <c r="HD23" s="179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9"/>
      <c r="JK23" s="179"/>
      <c r="JL23" s="179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9"/>
      <c r="LP23" s="179"/>
      <c r="LQ23" s="180"/>
      <c r="LR23" s="179"/>
      <c r="LS23" s="179"/>
      <c r="LT23" s="179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9"/>
      <c r="NX23" s="179"/>
      <c r="NY23" s="180"/>
      <c r="NZ23" s="179"/>
      <c r="OA23" s="179"/>
      <c r="OB23" s="179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179"/>
      <c r="QF23" s="179"/>
      <c r="QG23" s="180"/>
      <c r="QH23" s="179"/>
      <c r="QI23" s="179"/>
      <c r="QJ23" s="179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/>
      </c>
      <c r="C24" s="193"/>
      <c r="D24" s="147" t="str">
        <f t="shared" si="0"/>
        <v>0h35min</v>
      </c>
      <c r="E24" s="27">
        <v>7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177"/>
      <c r="CJ24" s="177"/>
      <c r="CK24" s="181"/>
      <c r="CL24" s="177"/>
      <c r="CM24" s="177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177"/>
      <c r="EF24" s="177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/>
      </c>
      <c r="C25" s="192" t="s">
        <v>52</v>
      </c>
      <c r="D25" s="146" t="str">
        <f t="shared" si="0"/>
        <v>12h40min</v>
      </c>
      <c r="E25" s="31">
        <v>152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170"/>
      <c r="BO25" s="171"/>
      <c r="BP25" s="171"/>
      <c r="BQ25" s="171"/>
      <c r="BR25" s="172"/>
      <c r="BS25" s="173"/>
      <c r="BT25" s="172"/>
      <c r="BU25" s="172"/>
      <c r="BV25" s="172"/>
      <c r="BW25" s="172"/>
      <c r="BX25" s="172"/>
      <c r="BY25" s="174"/>
      <c r="BZ25" s="172"/>
      <c r="CA25" s="172"/>
      <c r="CB25" s="172"/>
      <c r="CC25" s="172"/>
      <c r="CD25" s="172"/>
      <c r="CE25" s="175"/>
      <c r="CF25" s="172"/>
      <c r="CG25" s="172"/>
      <c r="CH25" s="172"/>
      <c r="CI25" s="172"/>
      <c r="CJ25" s="172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170"/>
      <c r="DW25" s="171"/>
      <c r="DX25" s="171"/>
      <c r="DY25" s="171"/>
      <c r="DZ25" s="172"/>
      <c r="EA25" s="173"/>
      <c r="EB25" s="172"/>
      <c r="EC25" s="172"/>
      <c r="ED25" s="172"/>
      <c r="EE25" s="172"/>
      <c r="EF25" s="172"/>
      <c r="EG25" s="174"/>
      <c r="EH25" s="172"/>
      <c r="EI25" s="172"/>
      <c r="EJ25" s="172"/>
      <c r="EK25" s="172"/>
      <c r="EL25" s="172"/>
      <c r="EM25" s="175"/>
      <c r="EN25" s="172"/>
      <c r="EO25" s="172"/>
      <c r="EP25" s="172"/>
      <c r="EQ25" s="172"/>
      <c r="ER25" s="172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170"/>
      <c r="GE25" s="171"/>
      <c r="GF25" s="171"/>
      <c r="GG25" s="171"/>
      <c r="GH25" s="172"/>
      <c r="GI25" s="173"/>
      <c r="GJ25" s="172"/>
      <c r="GK25" s="172"/>
      <c r="GL25" s="172"/>
      <c r="GM25" s="172"/>
      <c r="GN25" s="172"/>
      <c r="GO25" s="174"/>
      <c r="GP25" s="172"/>
      <c r="GQ25" s="172"/>
      <c r="GR25" s="172"/>
      <c r="GS25" s="172"/>
      <c r="GT25" s="172"/>
      <c r="GU25" s="175"/>
      <c r="GV25" s="172"/>
      <c r="GW25" s="172"/>
      <c r="GX25" s="172"/>
      <c r="GY25" s="172"/>
      <c r="GZ25" s="172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170"/>
      <c r="IM25" s="171"/>
      <c r="IN25" s="171"/>
      <c r="IO25" s="171"/>
      <c r="IP25" s="172"/>
      <c r="IQ25" s="173"/>
      <c r="IR25" s="172"/>
      <c r="IS25" s="172"/>
      <c r="IT25" s="172"/>
      <c r="IU25" s="172"/>
      <c r="IV25" s="172"/>
      <c r="IW25" s="174"/>
      <c r="IX25" s="172"/>
      <c r="IY25" s="172"/>
      <c r="IZ25" s="172"/>
      <c r="JA25" s="172"/>
      <c r="JB25" s="172"/>
      <c r="JC25" s="175"/>
      <c r="JD25" s="172"/>
      <c r="JE25" s="172"/>
      <c r="JF25" s="172"/>
      <c r="JG25" s="172"/>
      <c r="JH25" s="172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170"/>
      <c r="KU25" s="171"/>
      <c r="KV25" s="171"/>
      <c r="KW25" s="171"/>
      <c r="KX25" s="172"/>
      <c r="KY25" s="173"/>
      <c r="KZ25" s="172"/>
      <c r="LA25" s="172"/>
      <c r="LB25" s="172"/>
      <c r="LC25" s="172"/>
      <c r="LD25" s="172"/>
      <c r="LE25" s="174"/>
      <c r="LF25" s="172"/>
      <c r="LG25" s="172"/>
      <c r="LH25" s="172"/>
      <c r="LI25" s="172"/>
      <c r="LJ25" s="172"/>
      <c r="LK25" s="175"/>
      <c r="LL25" s="172"/>
      <c r="LM25" s="172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170"/>
      <c r="NC25" s="171"/>
      <c r="ND25" s="171"/>
      <c r="NE25" s="171"/>
      <c r="NF25" s="172"/>
      <c r="NG25" s="173"/>
      <c r="NH25" s="172"/>
      <c r="NI25" s="172"/>
      <c r="NJ25" s="172"/>
      <c r="NK25" s="172"/>
      <c r="NL25" s="172"/>
      <c r="NM25" s="174"/>
      <c r="NN25" s="172"/>
      <c r="NO25" s="172"/>
      <c r="NP25" s="172"/>
      <c r="NQ25" s="172"/>
      <c r="NR25" s="172"/>
      <c r="NS25" s="175"/>
      <c r="NT25" s="172"/>
      <c r="NU25" s="172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170"/>
      <c r="PK25" s="171"/>
      <c r="PL25" s="171"/>
      <c r="PM25" s="171"/>
      <c r="PN25" s="172"/>
      <c r="PO25" s="173"/>
      <c r="PP25" s="172"/>
      <c r="PQ25" s="172"/>
      <c r="PR25" s="172"/>
      <c r="PS25" s="172"/>
      <c r="PT25" s="172"/>
      <c r="PU25" s="174"/>
      <c r="PV25" s="172"/>
      <c r="PW25" s="172"/>
      <c r="PX25" s="172"/>
      <c r="PY25" s="172"/>
      <c r="PZ25" s="172"/>
      <c r="QA25" s="175"/>
      <c r="QB25" s="172"/>
      <c r="QC25" s="172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/>
      </c>
      <c r="C26" s="198"/>
      <c r="D26" s="148" t="str">
        <f t="shared" si="0"/>
        <v>4h40min</v>
      </c>
      <c r="E26" s="35">
        <v>56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165"/>
      <c r="BO26" s="166"/>
      <c r="BP26" s="166"/>
      <c r="BQ26" s="166"/>
      <c r="BR26" s="167"/>
      <c r="BS26" s="168"/>
      <c r="BT26" s="167"/>
      <c r="BU26" s="167"/>
      <c r="BV26" s="167"/>
      <c r="BW26" s="167"/>
      <c r="BX26" s="167"/>
      <c r="BY26" s="169"/>
      <c r="BZ26" s="167"/>
      <c r="CA26" s="167"/>
      <c r="CB26" s="167"/>
      <c r="CC26" s="167"/>
      <c r="CD26" s="167"/>
      <c r="CE26" s="176"/>
      <c r="CF26" s="167"/>
      <c r="CG26" s="167"/>
      <c r="CH26" s="16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165"/>
      <c r="DW26" s="166"/>
      <c r="DX26" s="166"/>
      <c r="DY26" s="166"/>
      <c r="DZ26" s="167"/>
      <c r="EA26" s="168"/>
      <c r="EB26" s="167"/>
      <c r="EC26" s="167"/>
      <c r="ED26" s="16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65"/>
      <c r="GE26" s="166"/>
      <c r="GF26" s="166"/>
      <c r="GG26" s="166"/>
      <c r="GH26" s="167"/>
      <c r="GI26" s="168"/>
      <c r="GJ26" s="167"/>
      <c r="GK26" s="167"/>
      <c r="GL26" s="167"/>
      <c r="GM26" s="167"/>
      <c r="GN26" s="167"/>
      <c r="GO26" s="169"/>
      <c r="GP26" s="167"/>
      <c r="GQ26" s="167"/>
      <c r="GR26" s="167"/>
      <c r="GS26" s="167"/>
      <c r="GT26" s="167"/>
      <c r="GU26" s="176"/>
      <c r="GV26" s="167"/>
      <c r="GW26" s="167"/>
      <c r="GX26" s="167"/>
      <c r="GY26" s="167"/>
      <c r="GZ26" s="167"/>
      <c r="HA26" s="169"/>
      <c r="HB26" s="167"/>
      <c r="HC26" s="16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19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198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19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198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19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198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17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192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198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192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19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192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198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19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19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19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198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19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198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19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19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19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198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19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198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19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19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19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198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19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19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19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198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19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198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19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19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19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198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19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198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19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19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19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198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19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19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19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198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19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19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19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19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19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19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19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19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19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19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19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19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19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19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19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198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19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19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19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19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199" t="s">
        <v>9</v>
      </c>
      <c r="D95" s="200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1"/>
      <c r="D96" s="202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194" t="s">
        <v>10</v>
      </c>
      <c r="D97" s="195"/>
      <c r="E97" s="118">
        <f>SUM(E16,E18,E20,E22,E24,E26,E28,E30,E32,E34,E36,E38,E40,E42,E44,E46,E48,E50,E52,E54,E56,E58,E60,E62,E64,E66,E68,E70,E72,E74,E76,E78,E80,E82,E84,E86,E88,E90,E92,E94)</f>
        <v>86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196"/>
      <c r="D98" s="197"/>
      <c r="E98" s="122" t="str">
        <f xml:space="preserve"> setValueToTime(E97)</f>
        <v>7h10min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topLeftCell="E1" zoomScaleNormal="100" zoomScaleSheetLayoutView="98" workbookViewId="0">
      <pane ySplit="1" topLeftCell="A88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22" t="s">
        <v>14</v>
      </c>
      <c r="F3" s="223"/>
      <c r="G3" s="46"/>
    </row>
    <row r="4" spans="1:7" s="52" customFormat="1" x14ac:dyDescent="0.3">
      <c r="A4" s="48" t="s">
        <v>52</v>
      </c>
      <c r="B4" s="49">
        <v>20</v>
      </c>
      <c r="C4" s="152" t="str">
        <f xml:space="preserve"> IF(B4="","",setValueToTime(B4))</f>
        <v>1h40min</v>
      </c>
      <c r="D4" s="50"/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/>
      <c r="E5" s="216"/>
      <c r="F5" s="217"/>
      <c r="G5" s="51"/>
    </row>
    <row r="6" spans="1:7" s="52" customFormat="1" x14ac:dyDescent="0.3">
      <c r="A6" s="53" t="s">
        <v>16</v>
      </c>
      <c r="B6" s="54">
        <v>6</v>
      </c>
      <c r="C6" s="153" t="str">
        <f t="shared" si="0"/>
        <v>0h30min</v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0"/>
      <c r="F12" s="22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22" t="s">
        <v>14</v>
      </c>
      <c r="F15" s="223"/>
      <c r="G15" s="46"/>
    </row>
    <row r="16" spans="1:7" s="52" customFormat="1" x14ac:dyDescent="0.3">
      <c r="A16" s="48" t="s">
        <v>52</v>
      </c>
      <c r="B16" s="49">
        <v>20</v>
      </c>
      <c r="C16" s="152" t="str">
        <f xml:space="preserve"> IF(B16="","",setValueToTime(B16))</f>
        <v>1h40min</v>
      </c>
      <c r="D16" s="50"/>
      <c r="E16" s="224"/>
      <c r="F16" s="225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16"/>
      <c r="F17" s="217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0"/>
      <c r="F24" s="22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22" t="s">
        <v>14</v>
      </c>
      <c r="F27" s="223"/>
      <c r="G27" s="46"/>
    </row>
    <row r="28" spans="1:7" s="52" customFormat="1" x14ac:dyDescent="0.3">
      <c r="A28" s="48" t="s">
        <v>52</v>
      </c>
      <c r="B28" s="49">
        <v>20</v>
      </c>
      <c r="C28" s="152" t="str">
        <f xml:space="preserve"> IF(B28="","",setValueToTime(B28))</f>
        <v>1h40min</v>
      </c>
      <c r="D28" s="50"/>
      <c r="E28" s="224"/>
      <c r="F28" s="225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16"/>
      <c r="F29" s="217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0"/>
      <c r="F36" s="22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22" t="s">
        <v>14</v>
      </c>
      <c r="F39" s="223"/>
      <c r="G39" s="46"/>
    </row>
    <row r="40" spans="1:7" s="52" customFormat="1" x14ac:dyDescent="0.3">
      <c r="A40" s="48" t="s">
        <v>52</v>
      </c>
      <c r="B40" s="49">
        <v>23</v>
      </c>
      <c r="C40" s="152" t="str">
        <f xml:space="preserve"> IF(B40="","",setValueToTime(B40))</f>
        <v>1h55min</v>
      </c>
      <c r="D40" s="50"/>
      <c r="E40" s="224"/>
      <c r="F40" s="225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16"/>
      <c r="F41" s="217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0"/>
      <c r="F48" s="221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22" t="s">
        <v>14</v>
      </c>
      <c r="F51" s="223"/>
      <c r="G51" s="46"/>
    </row>
    <row r="52" spans="1:7" s="52" customFormat="1" x14ac:dyDescent="0.3">
      <c r="A52" s="48" t="s">
        <v>52</v>
      </c>
      <c r="B52" s="49">
        <v>23</v>
      </c>
      <c r="C52" s="152" t="str">
        <f xml:space="preserve"> IF(B52="","",setValueToTime(B52))</f>
        <v>1h55min</v>
      </c>
      <c r="D52" s="50"/>
      <c r="E52" s="224"/>
      <c r="F52" s="225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16"/>
      <c r="F53" s="217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0"/>
      <c r="F60" s="221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22" t="s">
        <v>14</v>
      </c>
      <c r="F63" s="223"/>
      <c r="G63" s="46"/>
    </row>
    <row r="64" spans="1:7" s="52" customFormat="1" x14ac:dyDescent="0.3">
      <c r="A64" s="48" t="s">
        <v>52</v>
      </c>
      <c r="B64" s="49">
        <v>23</v>
      </c>
      <c r="C64" s="152" t="str">
        <f xml:space="preserve"> IF(B64="","",setValueToTime(B64))</f>
        <v>1h55min</v>
      </c>
      <c r="D64" s="50"/>
      <c r="E64" s="224"/>
      <c r="F64" s="225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16"/>
      <c r="F65" s="217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0"/>
      <c r="F72" s="221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22" t="s">
        <v>14</v>
      </c>
      <c r="F75" s="223"/>
      <c r="G75" s="46"/>
    </row>
    <row r="76" spans="1:7" s="52" customFormat="1" x14ac:dyDescent="0.3">
      <c r="A76" s="48" t="s">
        <v>52</v>
      </c>
      <c r="B76" s="49">
        <v>23</v>
      </c>
      <c r="C76" s="152" t="str">
        <f xml:space="preserve"> IF(B76="","",setValueToTime(B76))</f>
        <v>1h55min</v>
      </c>
      <c r="D76" s="50"/>
      <c r="E76" s="224"/>
      <c r="F76" s="225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16"/>
      <c r="F77" s="217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0"/>
      <c r="F84" s="221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22" t="s">
        <v>14</v>
      </c>
      <c r="F87" s="223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24"/>
      <c r="F88" s="225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0"/>
      <c r="F96" s="221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76:B83 B64:B71 B52:B59 B16:B23 B40:B47 B28:B35 B4:B11" xr:uid="{362C7519-D1B7-4501-AE35-53B15E33CEF9}">
      <formula1>0</formula1>
    </dataValidation>
    <dataValidation type="list" allowBlank="1" showInputMessage="1" showErrorMessage="1" sqref="A88:A95 A76:A83 A64:A71 A52:A59 A16:A23 A40:A47 A28:A35 A4:A11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49"/>
  <sheetViews>
    <sheetView showGridLines="0" zoomScaleNormal="100" zoomScaleSheetLayoutView="98" workbookViewId="0">
      <pane ySplit="1" topLeftCell="A15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4</v>
      </c>
      <c r="C2" s="164"/>
      <c r="D2" s="157" t="s">
        <v>15</v>
      </c>
      <c r="E2" s="158" t="s">
        <v>56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28" t="s">
        <v>14</v>
      </c>
      <c r="F3" s="229"/>
      <c r="G3" s="46"/>
    </row>
    <row r="4" spans="1:7" s="52" customFormat="1" x14ac:dyDescent="0.3">
      <c r="A4" s="48" t="s">
        <v>52</v>
      </c>
      <c r="B4" s="49">
        <v>26</v>
      </c>
      <c r="C4" s="152" t="str">
        <f xml:space="preserve"> IF(B4="","",setValueToTime(B4))</f>
        <v>2h10min</v>
      </c>
      <c r="D4" s="50" t="s">
        <v>66</v>
      </c>
      <c r="E4" s="224"/>
      <c r="F4" s="225"/>
      <c r="G4" s="51"/>
    </row>
    <row r="5" spans="1:7" s="52" customFormat="1" x14ac:dyDescent="0.3">
      <c r="A5" s="53" t="s">
        <v>17</v>
      </c>
      <c r="B5" s="54">
        <v>1</v>
      </c>
      <c r="C5" s="153" t="str">
        <f t="shared" ref="C5:C11" si="0" xml:space="preserve"> IF(B5="","",setValueToTime(B5))</f>
        <v>0h5min</v>
      </c>
      <c r="D5" s="55" t="s">
        <v>61</v>
      </c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26"/>
      <c r="F12" s="22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3</v>
      </c>
      <c r="C14" s="164"/>
      <c r="D14" s="157" t="s">
        <v>15</v>
      </c>
      <c r="E14" s="158" t="s">
        <v>56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28" t="s">
        <v>14</v>
      </c>
      <c r="F15" s="229"/>
      <c r="G15" s="46"/>
    </row>
    <row r="16" spans="1:7" s="52" customFormat="1" x14ac:dyDescent="0.3">
      <c r="A16" s="48" t="s">
        <v>52</v>
      </c>
      <c r="B16" s="49">
        <v>9</v>
      </c>
      <c r="C16" s="152" t="str">
        <f xml:space="preserve"> IF(B16="","",setValueToTime(B16))</f>
        <v>0h45min</v>
      </c>
      <c r="D16" s="50" t="s">
        <v>65</v>
      </c>
      <c r="E16" s="224"/>
      <c r="F16" s="225"/>
      <c r="G16" s="51"/>
    </row>
    <row r="17" spans="1:7" s="52" customFormat="1" x14ac:dyDescent="0.3">
      <c r="A17" s="53" t="s">
        <v>16</v>
      </c>
      <c r="B17" s="54">
        <v>2</v>
      </c>
      <c r="C17" s="153" t="str">
        <f t="shared" ref="C17:C23" si="1" xml:space="preserve"> IF(B17="","",setValueToTime(B17))</f>
        <v>0h10min</v>
      </c>
      <c r="D17" s="55" t="s">
        <v>64</v>
      </c>
      <c r="E17" s="216"/>
      <c r="F17" s="217"/>
      <c r="G17" s="51"/>
    </row>
    <row r="18" spans="1:7" s="52" customFormat="1" x14ac:dyDescent="0.3">
      <c r="A18" s="53" t="s">
        <v>17</v>
      </c>
      <c r="B18" s="54">
        <v>2</v>
      </c>
      <c r="C18" s="153" t="str">
        <f t="shared" si="1"/>
        <v>0h10min</v>
      </c>
      <c r="D18" s="55" t="s">
        <v>61</v>
      </c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29</v>
      </c>
      <c r="B24" s="83">
        <f>SUM(B16:B23)</f>
        <v>13</v>
      </c>
      <c r="C24" s="162" t="str">
        <f xml:space="preserve"> setValueToTime(B24)</f>
        <v>1h5min</v>
      </c>
      <c r="D24" s="121"/>
      <c r="E24" s="226"/>
      <c r="F24" s="22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</v>
      </c>
      <c r="C26" s="164"/>
      <c r="D26" s="157" t="s">
        <v>15</v>
      </c>
      <c r="E26" s="158" t="s">
        <v>56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 t="s">
        <v>52</v>
      </c>
      <c r="B28" s="49">
        <v>21</v>
      </c>
      <c r="C28" s="152" t="str">
        <f xml:space="preserve"> IF(B28="","",setValueToTime(B28))</f>
        <v>1h45min</v>
      </c>
      <c r="D28" s="50" t="s">
        <v>62</v>
      </c>
      <c r="E28" s="224"/>
      <c r="F28" s="225"/>
      <c r="G28" s="51"/>
    </row>
    <row r="29" spans="1:7" s="52" customFormat="1" x14ac:dyDescent="0.3">
      <c r="A29" s="53" t="s">
        <v>16</v>
      </c>
      <c r="B29" s="54">
        <v>5</v>
      </c>
      <c r="C29" s="153" t="str">
        <f t="shared" ref="C29:C35" si="2" xml:space="preserve"> IF(B29="","",setValueToTime(B29))</f>
        <v>0h25min</v>
      </c>
      <c r="D29" s="55"/>
      <c r="E29" s="216"/>
      <c r="F29" s="217"/>
      <c r="G29" s="51"/>
    </row>
    <row r="30" spans="1:7" s="52" customFormat="1" x14ac:dyDescent="0.3">
      <c r="A30" s="53" t="s">
        <v>17</v>
      </c>
      <c r="B30" s="54">
        <v>1</v>
      </c>
      <c r="C30" s="153" t="str">
        <f t="shared" si="2"/>
        <v>0h5min</v>
      </c>
      <c r="D30" s="55" t="s">
        <v>61</v>
      </c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26"/>
      <c r="F36" s="22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1</v>
      </c>
      <c r="C38" s="164"/>
      <c r="D38" s="157" t="s">
        <v>15</v>
      </c>
      <c r="E38" s="158">
        <v>45532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28" t="s">
        <v>14</v>
      </c>
      <c r="F39" s="229"/>
      <c r="G39" s="46"/>
    </row>
    <row r="40" spans="1:7" s="52" customFormat="1" ht="27" x14ac:dyDescent="0.3">
      <c r="A40" s="48" t="s">
        <v>32</v>
      </c>
      <c r="B40" s="49">
        <v>18</v>
      </c>
      <c r="C40" s="152" t="str">
        <f xml:space="preserve"> IF(B40="","",setValueToTime(B40))</f>
        <v>1h30min</v>
      </c>
      <c r="D40" s="50" t="s">
        <v>53</v>
      </c>
      <c r="E40" s="224"/>
      <c r="F40" s="225"/>
      <c r="G40" s="51"/>
    </row>
    <row r="41" spans="1:7" s="52" customFormat="1" x14ac:dyDescent="0.3">
      <c r="A41" s="53" t="s">
        <v>47</v>
      </c>
      <c r="B41" s="54">
        <v>8</v>
      </c>
      <c r="C41" s="153" t="str">
        <f t="shared" ref="C41:C47" si="3" xml:space="preserve"> IF(B41="","",setValueToTime(B41))</f>
        <v>0h40min</v>
      </c>
      <c r="D41" s="55" t="s">
        <v>54</v>
      </c>
      <c r="E41" s="216"/>
      <c r="F41" s="217"/>
      <c r="G41" s="51"/>
    </row>
    <row r="42" spans="1:7" s="52" customFormat="1" x14ac:dyDescent="0.3">
      <c r="A42" s="53" t="s">
        <v>50</v>
      </c>
      <c r="B42" s="54">
        <v>1</v>
      </c>
      <c r="C42" s="153" t="str">
        <f t="shared" si="3"/>
        <v>0h5min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26"/>
      <c r="F48" s="227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44:F4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102994D9-AA17-4E67-AC14-438B01A84798}">
      <formula1>0</formula1>
      <formula2>60</formula2>
    </dataValidation>
    <dataValidation type="list" allowBlank="1" showInputMessage="1" showErrorMessage="1" sqref="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219075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0"/>
      <c r="F11" s="22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26"/>
      <c r="F11" s="22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2024-09-25T09:22:22Z</dcterms:modified>
</cp:coreProperties>
</file>