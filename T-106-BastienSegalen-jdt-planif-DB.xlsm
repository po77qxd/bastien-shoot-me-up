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GITHUB\bastien-shoot-me-up\"/>
    </mc:Choice>
  </mc:AlternateContent>
  <xr:revisionPtr revIDLastSave="0" documentId="13_ncr:1_{7805B910-98DD-40C2-96D8-54E3A3372F46}" xr6:coauthVersionLast="47" xr6:coauthVersionMax="47" xr10:uidLastSave="{00000000-0000-0000-0000-000000000000}"/>
  <bookViews>
    <workbookView xWindow="30510" yWindow="1950" windowWidth="23145" windowHeight="1299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B72" i="12"/>
  <c r="C71" i="12"/>
  <c r="C70" i="12"/>
  <c r="C69" i="12"/>
  <c r="C68" i="12"/>
  <c r="C67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84" i="12"/>
  <c r="C83" i="12"/>
  <c r="C82" i="12"/>
  <c r="C81" i="12"/>
  <c r="C80" i="12"/>
  <c r="C79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4" i="12"/>
  <c r="C12" i="12"/>
  <c r="C72" i="10"/>
  <c r="C53" i="10"/>
  <c r="C11" i="15"/>
  <c r="C41" i="10"/>
  <c r="D81" i="1"/>
  <c r="D49" i="1"/>
  <c r="D17" i="1"/>
  <c r="D66" i="1"/>
  <c r="D34" i="1"/>
  <c r="C76" i="12"/>
  <c r="D79" i="1"/>
  <c r="D47" i="1"/>
  <c r="D15" i="1"/>
  <c r="D64" i="1"/>
  <c r="D32" i="1"/>
  <c r="C41" i="12"/>
  <c r="D77" i="1"/>
  <c r="D94" i="1"/>
  <c r="D62" i="1"/>
  <c r="D30" i="1"/>
  <c r="C76" i="10"/>
  <c r="C48" i="10"/>
  <c r="C4" i="10"/>
  <c r="C6" i="10"/>
  <c r="D45" i="1"/>
  <c r="C78" i="12"/>
  <c r="D75" i="1"/>
  <c r="D60" i="1"/>
  <c r="C52" i="12"/>
  <c r="C89" i="10"/>
  <c r="C64" i="10"/>
  <c r="C96" i="10"/>
  <c r="C84" i="10"/>
  <c r="C18" i="10"/>
  <c r="D71" i="1"/>
  <c r="D39" i="1"/>
  <c r="D88" i="1"/>
  <c r="D56" i="1"/>
  <c r="D24" i="1"/>
  <c r="C84" i="12"/>
  <c r="C65" i="10"/>
  <c r="C66" i="10"/>
  <c r="D69" i="1"/>
  <c r="D37" i="1"/>
  <c r="D86" i="1"/>
  <c r="D54" i="1"/>
  <c r="D22" i="1"/>
  <c r="C54" i="12"/>
  <c r="D92" i="1"/>
  <c r="C54" i="10"/>
  <c r="C52" i="10"/>
  <c r="C16" i="10"/>
  <c r="C18" i="12"/>
  <c r="D67" i="1"/>
  <c r="D35" i="1"/>
  <c r="D84" i="1"/>
  <c r="D52" i="1"/>
  <c r="D20" i="1"/>
  <c r="C40" i="12"/>
  <c r="D58" i="1"/>
  <c r="C29" i="10"/>
  <c r="C30" i="10"/>
  <c r="C17" i="12"/>
  <c r="D65" i="1"/>
  <c r="D33" i="1"/>
  <c r="D82" i="1"/>
  <c r="D50" i="1"/>
  <c r="D18" i="1"/>
  <c r="C28" i="12"/>
  <c r="C28" i="10"/>
  <c r="C16" i="12"/>
  <c r="D63" i="1"/>
  <c r="D31" i="1"/>
  <c r="D80" i="1"/>
  <c r="D48" i="1"/>
  <c r="D16" i="1"/>
  <c r="C64" i="12"/>
  <c r="D55" i="1"/>
  <c r="C78" i="10"/>
  <c r="D38" i="1"/>
  <c r="C24" i="10"/>
  <c r="C88" i="10"/>
  <c r="C11" i="16"/>
  <c r="D93" i="1"/>
  <c r="D61" i="1"/>
  <c r="D29" i="1"/>
  <c r="D78" i="1"/>
  <c r="D46" i="1"/>
  <c r="C24" i="12"/>
  <c r="C77" i="12"/>
  <c r="D89" i="1"/>
  <c r="D25" i="1"/>
  <c r="D74" i="1"/>
  <c r="D42" i="1"/>
  <c r="C72" i="12"/>
  <c r="C48" i="12"/>
  <c r="C40" i="10"/>
  <c r="C53" i="12"/>
  <c r="D85" i="1"/>
  <c r="D53" i="1"/>
  <c r="D21" i="1"/>
  <c r="D70" i="1"/>
  <c r="C17" i="10"/>
  <c r="D19" i="1"/>
  <c r="D43" i="1"/>
  <c r="D28" i="1"/>
  <c r="D73" i="1"/>
  <c r="D41" i="1"/>
  <c r="D90" i="1"/>
  <c r="D26" i="1"/>
  <c r="C60" i="12"/>
  <c r="C36" i="10"/>
  <c r="C77" i="10"/>
  <c r="D91" i="1"/>
  <c r="D59" i="1"/>
  <c r="D27" i="1"/>
  <c r="D76" i="1"/>
  <c r="D44" i="1"/>
  <c r="C36" i="12"/>
  <c r="C30" i="12"/>
  <c r="C42" i="10"/>
  <c r="D57" i="1"/>
  <c r="D87" i="1"/>
  <c r="D23" i="1"/>
  <c r="D72" i="1"/>
  <c r="D40" i="1"/>
  <c r="C29" i="12"/>
  <c r="C65" i="12"/>
  <c r="D83" i="1"/>
  <c r="D51" i="1"/>
  <c r="D68" i="1"/>
  <c r="D36" i="1"/>
  <c r="C66" i="12"/>
  <c r="C5" i="10"/>
  <c r="C60" i="10"/>
  <c r="C12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<sst xmlns="http://schemas.openxmlformats.org/spreadsheetml/2006/main" count="389" uniqueCount="80">
  <si>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</si>
  <si>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</si>
  <si>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</si>
  <si>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</si>
  <si>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</si>
  <si>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</si>
  <si>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</si>
  <si>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</si>
  <si>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</si>
  <si>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</si>
  <si>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</si>
  <si>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</si>
  <si>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</si>
  <si>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</si>
  <si>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</si>
  <si>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</si>
  <si>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</si>
  <si>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</si>
  <si>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</si>
  <si>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</si>
  <si>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</si>
  <si>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</si>
  <si>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</si>
  <si>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</si>
  <si>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</si>
  <si>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</si>
  <si>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</si>
  <si>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</si>
  <si>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</si>
  <si>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</si>
  <si>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</si>
  <si>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</si>
  <si>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</si>
  <si>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</si>
  <si>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</si>
  <si>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</si>
  <si>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</si>
  <si>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</si>
  <si>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</si>
  <si>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</si>
  <si>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</si>
  <si>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</si>
  <si>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</si>
  <si>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</si>
  <si>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</si>
  <si>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</si>
  <si>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</si>
  <si>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</si>
  <si>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</si>
  <si>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</si>
  <si>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</si>
  <si>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db - MCD/MLD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</si>
  <si>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</si>
  <si>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</si>
  <si>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</si>
  <si>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</si>
  <si>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</si>
  <si>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</si>
  <si>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</si>
  <si>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</si>
  <si>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</si>
  <si>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</si>
  <si>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</si>
  <si>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lien vers les fichiers sql, role pour la DB</t>
  </si>
  <si>
    <t>mcd avec looping, noms mis aux normes de l'ETML</t>
  </si>
  <si>
    <t>modification du mcd pour respecter les normes etml, création du fichier de données</t>
  </si>
  <si>
    <t>7h5min</t>
  </si>
  <si>
    <t>- 9h25min</t>
  </si>
  <si>
    <t>Explication des role et utilisateur, lien pour les fichiers sql</t>
  </si>
  <si>
    <t>mcd, fichier sql de création de données, fichier sql de création des rôles et utilisateurs, début de la partie sur les index</t>
  </si>
  <si>
    <t>mercredi, 30 octobre 2024</t>
  </si>
  <si>
    <t>mercredi, 9 octobre 2024</t>
  </si>
  <si>
    <t>mercredi, 2 octobre 2024</t>
  </si>
  <si>
    <t>mercredi, 25 septembre 2024</t>
  </si>
  <si>
    <t>mercredi, 18 septembre 2024</t>
  </si>
  <si>
    <t>mercredi, 11 septembre 2024</t>
  </si>
  <si>
    <t>backup: création du dump et restore la DB</t>
  </si>
  <si>
    <t>partie sur les index, backup/restore, auto évaluation</t>
  </si>
  <si>
    <t>correction du mld: ajout de _fk a la fin des fk, correction du mcd: ajout d'une table joueur_humain. Ajout de données: joueur qui represente les personnas. Modification des droit de l'admin du jeu</t>
  </si>
  <si>
    <t>fichier .sql dans le répertoire MCD-MLD/ + fichier looping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</si>
</sst>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0.33000001311302185</c:v>
              </c:pt>
              <c:pt idx="4">
                <c:v>0.57999998331069946</c:v>
              </c:pt>
              <c:pt idx="5">
                <c:v>4.6700000762939453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1349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5" t="s">
        <v>34</v>
      </c>
      <c r="C35" s="185"/>
      <c r="D35" s="185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6" t="s">
        <v>35</v>
      </c>
      <c r="C37" s="186"/>
      <c r="D37" s="186"/>
      <c r="E37" s="109" t="s">
        <v>66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195" t="s">
        <v>31</v>
      </c>
      <c r="D1" s="195"/>
      <c r="E1" s="195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196"/>
      <c r="D7" s="196"/>
      <c r="E7" s="196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0" t="str">
        <f>E96</f>
        <v>16h30min</v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119"/>
      <c r="W9" s="209" t="s">
        <v>23</v>
      </c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0" t="str">
        <f>E98</f>
        <v>10h55min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0"/>
      <c r="BO10" s="210"/>
      <c r="BP10" s="210"/>
      <c r="BQ10" s="210"/>
      <c r="BR10" s="210"/>
      <c r="BS10" s="210"/>
      <c r="BT10" s="210"/>
      <c r="BU10" s="210"/>
      <c r="BV10" s="210"/>
      <c r="BW10" s="210"/>
      <c r="BX10" s="210"/>
      <c r="BY10" s="210"/>
      <c r="BZ10" s="210"/>
      <c r="CA10" s="210"/>
      <c r="CB10" s="210"/>
      <c r="CC10" s="210"/>
      <c r="CD10" s="210"/>
      <c r="CE10" s="210"/>
      <c r="CF10" s="210"/>
      <c r="CG10" s="210"/>
      <c r="CH10" s="210"/>
      <c r="CI10" s="210"/>
      <c r="CJ10" s="210"/>
      <c r="CK10" s="210"/>
      <c r="CL10" s="210"/>
      <c r="CM10" s="210"/>
      <c r="CN10" s="210"/>
      <c r="CO10" s="210"/>
      <c r="CP10" s="210"/>
      <c r="CQ10" s="92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90"/>
    </row>
    <row r="11" spans="1:486" ht="20.100000000000001" customHeight="1" x14ac:dyDescent="0.25">
      <c r="B11" s="96"/>
      <c r="C11" s="205"/>
      <c r="D11" s="205"/>
      <c r="E11" s="205"/>
      <c r="F11" s="208" t="s">
        <v>75</v>
      </c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 t="s">
        <v>74</v>
      </c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08"/>
      <c r="DB11" s="208"/>
      <c r="DC11" s="208"/>
      <c r="DD11" s="208"/>
      <c r="DE11" s="208"/>
      <c r="DF11" s="208"/>
      <c r="DG11" s="208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188" t="s">
        <v>73</v>
      </c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  <c r="FA11" s="188"/>
      <c r="FB11" s="188"/>
      <c r="FC11" s="188"/>
      <c r="FD11" s="188"/>
      <c r="FE11" s="188"/>
      <c r="FF11" s="188"/>
      <c r="FG11" s="188"/>
      <c r="FH11" s="188"/>
      <c r="FI11" s="188"/>
      <c r="FJ11" s="188"/>
      <c r="FK11" s="188"/>
      <c r="FL11" s="188"/>
      <c r="FM11" s="188"/>
      <c r="FN11" s="188"/>
      <c r="FO11" s="188"/>
      <c r="FP11" s="188"/>
      <c r="FQ11" s="188"/>
      <c r="FR11" s="188"/>
      <c r="FS11" s="188"/>
      <c r="FT11" s="188"/>
      <c r="FU11" s="188"/>
      <c r="FV11" s="188"/>
      <c r="FW11" s="188"/>
      <c r="FX11" s="188"/>
      <c r="FY11" s="188"/>
      <c r="FZ11" s="188"/>
      <c r="GA11" s="188"/>
      <c r="GB11" s="188"/>
      <c r="GC11" s="188"/>
      <c r="GD11" s="188" t="s">
        <v>72</v>
      </c>
      <c r="GE11" s="188"/>
      <c r="GF11" s="188"/>
      <c r="GG11" s="188"/>
      <c r="GH11" s="188"/>
      <c r="GI11" s="188"/>
      <c r="GJ11" s="188"/>
      <c r="GK11" s="188"/>
      <c r="GL11" s="188"/>
      <c r="GM11" s="188"/>
      <c r="GN11" s="188"/>
      <c r="GO11" s="188"/>
      <c r="GP11" s="188"/>
      <c r="GQ11" s="188"/>
      <c r="GR11" s="188"/>
      <c r="GS11" s="188"/>
      <c r="GT11" s="188"/>
      <c r="GU11" s="188"/>
      <c r="GV11" s="188"/>
      <c r="GW11" s="188"/>
      <c r="GX11" s="188"/>
      <c r="GY11" s="188"/>
      <c r="GZ11" s="188"/>
      <c r="HA11" s="188"/>
      <c r="HB11" s="188"/>
      <c r="HC11" s="188"/>
      <c r="HD11" s="188"/>
      <c r="HE11" s="188"/>
      <c r="HF11" s="188"/>
      <c r="HG11" s="188"/>
      <c r="HH11" s="188"/>
      <c r="HI11" s="188"/>
      <c r="HJ11" s="188"/>
      <c r="HK11" s="188"/>
      <c r="HL11" s="188"/>
      <c r="HM11" s="188"/>
      <c r="HN11" s="188"/>
      <c r="HO11" s="188"/>
      <c r="HP11" s="188"/>
      <c r="HQ11" s="188"/>
      <c r="HR11" s="188"/>
      <c r="HS11" s="188"/>
      <c r="HT11" s="188"/>
      <c r="HU11" s="188"/>
      <c r="HV11" s="188"/>
      <c r="HW11" s="188"/>
      <c r="HX11" s="188"/>
      <c r="HY11" s="188"/>
      <c r="HZ11" s="188"/>
      <c r="IA11" s="188"/>
      <c r="IB11" s="188"/>
      <c r="IC11" s="188"/>
      <c r="ID11" s="188"/>
      <c r="IE11" s="188"/>
      <c r="IF11" s="188"/>
      <c r="IG11" s="188"/>
      <c r="IH11" s="188"/>
      <c r="II11" s="188"/>
      <c r="IJ11" s="188"/>
      <c r="IK11" s="188"/>
      <c r="IL11" s="188" t="s">
        <v>71</v>
      </c>
      <c r="IM11" s="188"/>
      <c r="IN11" s="188"/>
      <c r="IO11" s="188"/>
      <c r="IP11" s="188"/>
      <c r="IQ11" s="188"/>
      <c r="IR11" s="188"/>
      <c r="IS11" s="188"/>
      <c r="IT11" s="188"/>
      <c r="IU11" s="188"/>
      <c r="IV11" s="188"/>
      <c r="IW11" s="188"/>
      <c r="IX11" s="188"/>
      <c r="IY11" s="188"/>
      <c r="IZ11" s="188"/>
      <c r="JA11" s="188"/>
      <c r="JB11" s="188"/>
      <c r="JC11" s="188"/>
      <c r="JD11" s="188"/>
      <c r="JE11" s="188"/>
      <c r="JF11" s="188"/>
      <c r="JG11" s="188"/>
      <c r="JH11" s="188"/>
      <c r="JI11" s="188"/>
      <c r="JJ11" s="188"/>
      <c r="JK11" s="188"/>
      <c r="JL11" s="188"/>
      <c r="JM11" s="188"/>
      <c r="JN11" s="188"/>
      <c r="JO11" s="188"/>
      <c r="JP11" s="188"/>
      <c r="JQ11" s="188"/>
      <c r="JR11" s="188"/>
      <c r="JS11" s="188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 t="s">
        <v>70</v>
      </c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 t="s">
        <v>55</v>
      </c>
      <c r="NC11" s="188"/>
      <c r="ND11" s="188"/>
      <c r="NE11" s="188"/>
      <c r="NF11" s="188"/>
      <c r="NG11" s="188"/>
      <c r="NH11" s="188"/>
      <c r="NI11" s="188"/>
      <c r="NJ11" s="188"/>
      <c r="NK11" s="188"/>
      <c r="NL11" s="188"/>
      <c r="NM11" s="188"/>
      <c r="NN11" s="188"/>
      <c r="NO11" s="188"/>
      <c r="NP11" s="188"/>
      <c r="NQ11" s="188"/>
      <c r="NR11" s="188"/>
      <c r="NS11" s="188"/>
      <c r="NT11" s="188"/>
      <c r="NU11" s="188"/>
      <c r="NV11" s="188"/>
      <c r="NW11" s="188"/>
      <c r="NX11" s="188"/>
      <c r="NY11" s="188"/>
      <c r="NZ11" s="188"/>
      <c r="OA11" s="188"/>
      <c r="OB11" s="188"/>
      <c r="OC11" s="188"/>
      <c r="OD11" s="188"/>
      <c r="OE11" s="188"/>
      <c r="OF11" s="188"/>
      <c r="OG11" s="188"/>
      <c r="OH11" s="188"/>
      <c r="OI11" s="188"/>
      <c r="OJ11" s="188"/>
      <c r="OK11" s="188"/>
      <c r="OL11" s="188"/>
      <c r="OM11" s="188"/>
      <c r="ON11" s="188"/>
      <c r="OO11" s="188"/>
      <c r="OP11" s="188"/>
      <c r="OQ11" s="188"/>
      <c r="OR11" s="188"/>
      <c r="OS11" s="188"/>
      <c r="OT11" s="188"/>
      <c r="OU11" s="188"/>
      <c r="OV11" s="188"/>
      <c r="OW11" s="188"/>
      <c r="OX11" s="188"/>
      <c r="OY11" s="188"/>
      <c r="OZ11" s="188"/>
      <c r="PA11" s="188"/>
      <c r="PB11" s="188"/>
      <c r="PC11" s="188"/>
      <c r="PD11" s="188"/>
      <c r="PE11" s="188"/>
      <c r="PF11" s="188"/>
      <c r="PG11" s="188"/>
      <c r="PH11" s="188"/>
      <c r="PI11" s="188"/>
      <c r="PJ11" s="188" t="s">
        <v>55</v>
      </c>
      <c r="PK11" s="188"/>
      <c r="PL11" s="188"/>
      <c r="PM11" s="188"/>
      <c r="PN11" s="188"/>
      <c r="PO11" s="188"/>
      <c r="PP11" s="188"/>
      <c r="PQ11" s="188"/>
      <c r="PR11" s="188"/>
      <c r="PS11" s="188"/>
      <c r="PT11" s="188"/>
      <c r="PU11" s="188"/>
      <c r="PV11" s="188"/>
      <c r="PW11" s="188"/>
      <c r="PX11" s="188"/>
      <c r="PY11" s="188"/>
      <c r="PZ11" s="188"/>
      <c r="QA11" s="188"/>
      <c r="QB11" s="188"/>
      <c r="QC11" s="188"/>
      <c r="QD11" s="188"/>
      <c r="QE11" s="188"/>
      <c r="QF11" s="188"/>
      <c r="QG11" s="188"/>
      <c r="QH11" s="188"/>
      <c r="QI11" s="188"/>
      <c r="QJ11" s="188"/>
      <c r="QK11" s="188"/>
      <c r="QL11" s="188"/>
      <c r="QM11" s="188"/>
      <c r="QN11" s="188"/>
      <c r="QO11" s="188"/>
      <c r="QP11" s="188"/>
      <c r="QQ11" s="188"/>
      <c r="QR11" s="188"/>
      <c r="QS11" s="188"/>
      <c r="QT11" s="188"/>
      <c r="QU11" s="188"/>
      <c r="QV11" s="188"/>
      <c r="QW11" s="188"/>
      <c r="QX11" s="188"/>
      <c r="QY11" s="188"/>
      <c r="QZ11" s="188"/>
      <c r="RA11" s="188"/>
      <c r="RB11" s="188"/>
      <c r="RC11" s="188"/>
      <c r="RD11" s="188"/>
      <c r="RE11" s="188"/>
      <c r="RF11" s="188"/>
      <c r="RG11" s="188"/>
      <c r="RH11" s="188"/>
      <c r="RI11" s="188"/>
      <c r="RJ11" s="188"/>
      <c r="RK11" s="188"/>
      <c r="RL11" s="188"/>
      <c r="RM11" s="188"/>
      <c r="RN11" s="188"/>
      <c r="RO11" s="188"/>
      <c r="RP11" s="188"/>
      <c r="RQ11" s="188"/>
      <c r="RR11" s="90"/>
    </row>
    <row r="12" spans="1:486" ht="15.75" customHeight="1" thickBot="1" x14ac:dyDescent="0.3">
      <c r="B12" s="97"/>
      <c r="C12" s="206"/>
      <c r="D12" s="206"/>
      <c r="E12" s="206"/>
      <c r="F12" s="207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189"/>
      <c r="DW12" s="189"/>
      <c r="DX12" s="189"/>
      <c r="DY12" s="189"/>
      <c r="DZ12" s="189"/>
      <c r="EA12" s="189"/>
      <c r="EB12" s="189"/>
      <c r="EC12" s="189"/>
      <c r="ED12" s="189"/>
      <c r="EE12" s="189"/>
      <c r="EF12" s="189"/>
      <c r="EG12" s="189"/>
      <c r="EH12" s="189"/>
      <c r="EI12" s="189"/>
      <c r="EJ12" s="189"/>
      <c r="EK12" s="189"/>
      <c r="EL12" s="189"/>
      <c r="EM12" s="189"/>
      <c r="EN12" s="189"/>
      <c r="EO12" s="189"/>
      <c r="EP12" s="189"/>
      <c r="EQ12" s="189"/>
      <c r="ER12" s="189"/>
      <c r="ES12" s="189"/>
      <c r="ET12" s="189"/>
      <c r="EU12" s="189"/>
      <c r="EV12" s="189"/>
      <c r="EW12" s="189"/>
      <c r="EX12" s="189"/>
      <c r="EY12" s="189"/>
      <c r="EZ12" s="189"/>
      <c r="FA12" s="189"/>
      <c r="FB12" s="189"/>
      <c r="FC12" s="189"/>
      <c r="FD12" s="189"/>
      <c r="FE12" s="189"/>
      <c r="FF12" s="189"/>
      <c r="FG12" s="189"/>
      <c r="FH12" s="189"/>
      <c r="FI12" s="189"/>
      <c r="FJ12" s="189"/>
      <c r="FK12" s="189"/>
      <c r="FL12" s="189"/>
      <c r="FM12" s="189"/>
      <c r="FN12" s="189"/>
      <c r="FO12" s="189"/>
      <c r="FP12" s="189"/>
      <c r="FQ12" s="189"/>
      <c r="FR12" s="189"/>
      <c r="FS12" s="189"/>
      <c r="FT12" s="189"/>
      <c r="FU12" s="189"/>
      <c r="FV12" s="189"/>
      <c r="FW12" s="189"/>
      <c r="FX12" s="189"/>
      <c r="FY12" s="189"/>
      <c r="FZ12" s="189"/>
      <c r="GA12" s="189"/>
      <c r="GB12" s="189"/>
      <c r="GC12" s="189"/>
      <c r="GD12" s="189"/>
      <c r="GE12" s="189"/>
      <c r="GF12" s="189"/>
      <c r="GG12" s="189"/>
      <c r="GH12" s="189"/>
      <c r="GI12" s="189"/>
      <c r="GJ12" s="189"/>
      <c r="GK12" s="189"/>
      <c r="GL12" s="189"/>
      <c r="GM12" s="189"/>
      <c r="GN12" s="189"/>
      <c r="GO12" s="189"/>
      <c r="GP12" s="189"/>
      <c r="GQ12" s="189"/>
      <c r="GR12" s="189"/>
      <c r="GS12" s="189"/>
      <c r="GT12" s="189"/>
      <c r="GU12" s="189"/>
      <c r="GV12" s="189"/>
      <c r="GW12" s="189"/>
      <c r="GX12" s="189"/>
      <c r="GY12" s="189"/>
      <c r="GZ12" s="189"/>
      <c r="HA12" s="189"/>
      <c r="HB12" s="189"/>
      <c r="HC12" s="189"/>
      <c r="HD12" s="189"/>
      <c r="HE12" s="189"/>
      <c r="HF12" s="189"/>
      <c r="HG12" s="189"/>
      <c r="HH12" s="189"/>
      <c r="HI12" s="189"/>
      <c r="HJ12" s="189"/>
      <c r="HK12" s="189"/>
      <c r="HL12" s="189"/>
      <c r="HM12" s="189"/>
      <c r="HN12" s="189"/>
      <c r="HO12" s="189"/>
      <c r="HP12" s="189"/>
      <c r="HQ12" s="189"/>
      <c r="HR12" s="189"/>
      <c r="HS12" s="189"/>
      <c r="HT12" s="189"/>
      <c r="HU12" s="189"/>
      <c r="HV12" s="189"/>
      <c r="HW12" s="189"/>
      <c r="HX12" s="189"/>
      <c r="HY12" s="189"/>
      <c r="HZ12" s="189"/>
      <c r="IA12" s="189"/>
      <c r="IB12" s="189"/>
      <c r="IC12" s="189"/>
      <c r="ID12" s="189"/>
      <c r="IE12" s="189"/>
      <c r="IF12" s="189"/>
      <c r="IG12" s="189"/>
      <c r="IH12" s="189"/>
      <c r="II12" s="189"/>
      <c r="IJ12" s="189"/>
      <c r="IK12" s="189"/>
      <c r="IL12" s="189"/>
      <c r="IM12" s="189"/>
      <c r="IN12" s="189"/>
      <c r="IO12" s="189"/>
      <c r="IP12" s="189"/>
      <c r="IQ12" s="189"/>
      <c r="IR12" s="189"/>
      <c r="IS12" s="189"/>
      <c r="IT12" s="189"/>
      <c r="IU12" s="189"/>
      <c r="IV12" s="189"/>
      <c r="IW12" s="189"/>
      <c r="IX12" s="189"/>
      <c r="IY12" s="189"/>
      <c r="IZ12" s="189"/>
      <c r="JA12" s="189"/>
      <c r="JB12" s="189"/>
      <c r="JC12" s="189"/>
      <c r="JD12" s="189"/>
      <c r="JE12" s="189"/>
      <c r="JF12" s="189"/>
      <c r="JG12" s="189"/>
      <c r="JH12" s="189"/>
      <c r="JI12" s="189"/>
      <c r="JJ12" s="189"/>
      <c r="JK12" s="189"/>
      <c r="JL12" s="189"/>
      <c r="JM12" s="189"/>
      <c r="JN12" s="189"/>
      <c r="JO12" s="189"/>
      <c r="JP12" s="189"/>
      <c r="JQ12" s="189"/>
      <c r="JR12" s="189"/>
      <c r="JS12" s="189"/>
      <c r="JT12" s="189"/>
      <c r="JU12" s="189"/>
      <c r="JV12" s="189"/>
      <c r="JW12" s="189"/>
      <c r="JX12" s="189"/>
      <c r="JY12" s="189"/>
      <c r="JZ12" s="189"/>
      <c r="KA12" s="189"/>
      <c r="KB12" s="189"/>
      <c r="KC12" s="189"/>
      <c r="KD12" s="189"/>
      <c r="KE12" s="189"/>
      <c r="KF12" s="189"/>
      <c r="KG12" s="189"/>
      <c r="KH12" s="189"/>
      <c r="KI12" s="189"/>
      <c r="KJ12" s="189"/>
      <c r="KK12" s="189"/>
      <c r="KL12" s="189"/>
      <c r="KM12" s="189"/>
      <c r="KN12" s="189"/>
      <c r="KO12" s="189"/>
      <c r="KP12" s="189"/>
      <c r="KQ12" s="189"/>
      <c r="KR12" s="189"/>
      <c r="KS12" s="189"/>
      <c r="KT12" s="189"/>
      <c r="KU12" s="189"/>
      <c r="KV12" s="189"/>
      <c r="KW12" s="189"/>
      <c r="KX12" s="189"/>
      <c r="KY12" s="189"/>
      <c r="KZ12" s="189"/>
      <c r="LA12" s="189"/>
      <c r="LB12" s="189"/>
      <c r="LC12" s="189"/>
      <c r="LD12" s="189"/>
      <c r="LE12" s="189"/>
      <c r="LF12" s="189"/>
      <c r="LG12" s="189"/>
      <c r="LH12" s="189"/>
      <c r="LI12" s="189"/>
      <c r="LJ12" s="189"/>
      <c r="LK12" s="189"/>
      <c r="LL12" s="189"/>
      <c r="LM12" s="189"/>
      <c r="LN12" s="189"/>
      <c r="LO12" s="189"/>
      <c r="LP12" s="189"/>
      <c r="LQ12" s="189"/>
      <c r="LR12" s="189"/>
      <c r="LS12" s="189"/>
      <c r="LT12" s="189"/>
      <c r="LU12" s="189"/>
      <c r="LV12" s="189"/>
      <c r="LW12" s="189"/>
      <c r="LX12" s="189"/>
      <c r="LY12" s="189"/>
      <c r="LZ12" s="189"/>
      <c r="MA12" s="189"/>
      <c r="MB12" s="189"/>
      <c r="MC12" s="189"/>
      <c r="MD12" s="189"/>
      <c r="ME12" s="189"/>
      <c r="MF12" s="189"/>
      <c r="MG12" s="189"/>
      <c r="MH12" s="189"/>
      <c r="MI12" s="189"/>
      <c r="MJ12" s="189"/>
      <c r="MK12" s="189"/>
      <c r="ML12" s="189"/>
      <c r="MM12" s="189"/>
      <c r="MN12" s="189"/>
      <c r="MO12" s="189"/>
      <c r="MP12" s="189"/>
      <c r="MQ12" s="189"/>
      <c r="MR12" s="189"/>
      <c r="MS12" s="189"/>
      <c r="MT12" s="189"/>
      <c r="MU12" s="189"/>
      <c r="MV12" s="189"/>
      <c r="MW12" s="189"/>
      <c r="MX12" s="189"/>
      <c r="MY12" s="189"/>
      <c r="MZ12" s="189"/>
      <c r="NA12" s="189"/>
      <c r="NB12" s="189"/>
      <c r="NC12" s="189"/>
      <c r="ND12" s="189"/>
      <c r="NE12" s="189"/>
      <c r="NF12" s="189"/>
      <c r="NG12" s="189"/>
      <c r="NH12" s="189"/>
      <c r="NI12" s="189"/>
      <c r="NJ12" s="189"/>
      <c r="NK12" s="189"/>
      <c r="NL12" s="189"/>
      <c r="NM12" s="189"/>
      <c r="NN12" s="189"/>
      <c r="NO12" s="189"/>
      <c r="NP12" s="189"/>
      <c r="NQ12" s="189"/>
      <c r="NR12" s="189"/>
      <c r="NS12" s="189"/>
      <c r="NT12" s="189"/>
      <c r="NU12" s="189"/>
      <c r="NV12" s="189"/>
      <c r="NW12" s="189"/>
      <c r="NX12" s="189"/>
      <c r="NY12" s="189"/>
      <c r="NZ12" s="189"/>
      <c r="OA12" s="189"/>
      <c r="OB12" s="189"/>
      <c r="OC12" s="189"/>
      <c r="OD12" s="189"/>
      <c r="OE12" s="189"/>
      <c r="OF12" s="189"/>
      <c r="OG12" s="189"/>
      <c r="OH12" s="189"/>
      <c r="OI12" s="189"/>
      <c r="OJ12" s="189"/>
      <c r="OK12" s="189"/>
      <c r="OL12" s="189"/>
      <c r="OM12" s="189"/>
      <c r="ON12" s="189"/>
      <c r="OO12" s="189"/>
      <c r="OP12" s="189"/>
      <c r="OQ12" s="189"/>
      <c r="OR12" s="189"/>
      <c r="OS12" s="189"/>
      <c r="OT12" s="189"/>
      <c r="OU12" s="189"/>
      <c r="OV12" s="189"/>
      <c r="OW12" s="189"/>
      <c r="OX12" s="189"/>
      <c r="OY12" s="189"/>
      <c r="OZ12" s="189"/>
      <c r="PA12" s="189"/>
      <c r="PB12" s="189"/>
      <c r="PC12" s="189"/>
      <c r="PD12" s="189"/>
      <c r="PE12" s="189"/>
      <c r="PF12" s="189"/>
      <c r="PG12" s="189"/>
      <c r="PH12" s="189"/>
      <c r="PI12" s="189"/>
      <c r="PJ12" s="189"/>
      <c r="PK12" s="189"/>
      <c r="PL12" s="189"/>
      <c r="PM12" s="189"/>
      <c r="PN12" s="189"/>
      <c r="PO12" s="189"/>
      <c r="PP12" s="189"/>
      <c r="PQ12" s="189"/>
      <c r="PR12" s="189"/>
      <c r="PS12" s="189"/>
      <c r="PT12" s="189"/>
      <c r="PU12" s="189"/>
      <c r="PV12" s="189"/>
      <c r="PW12" s="189"/>
      <c r="PX12" s="189"/>
      <c r="PY12" s="189"/>
      <c r="PZ12" s="189"/>
      <c r="QA12" s="189"/>
      <c r="QB12" s="189"/>
      <c r="QC12" s="189"/>
      <c r="QD12" s="189"/>
      <c r="QE12" s="189"/>
      <c r="QF12" s="189"/>
      <c r="QG12" s="189"/>
      <c r="QH12" s="189"/>
      <c r="QI12" s="189"/>
      <c r="QJ12" s="189"/>
      <c r="QK12" s="189"/>
      <c r="QL12" s="189"/>
      <c r="QM12" s="189"/>
      <c r="QN12" s="189"/>
      <c r="QO12" s="189"/>
      <c r="QP12" s="189"/>
      <c r="QQ12" s="189"/>
      <c r="QR12" s="189"/>
      <c r="QS12" s="189"/>
      <c r="QT12" s="189"/>
      <c r="QU12" s="189"/>
      <c r="QV12" s="189"/>
      <c r="QW12" s="189"/>
      <c r="QX12" s="189"/>
      <c r="QY12" s="189"/>
      <c r="QZ12" s="189"/>
      <c r="RA12" s="189"/>
      <c r="RB12" s="189"/>
      <c r="RC12" s="189"/>
      <c r="RD12" s="189"/>
      <c r="RE12" s="189"/>
      <c r="RF12" s="189"/>
      <c r="RG12" s="189"/>
      <c r="RH12" s="189"/>
      <c r="RI12" s="189"/>
      <c r="RJ12" s="189"/>
      <c r="RK12" s="189"/>
      <c r="RL12" s="189"/>
      <c r="RM12" s="189"/>
      <c r="RN12" s="189"/>
      <c r="RO12" s="189"/>
      <c r="RP12" s="189"/>
      <c r="RQ12" s="189"/>
      <c r="RR12" s="90"/>
    </row>
    <row r="13" spans="1:486" ht="42.75" customHeight="1" thickBot="1" x14ac:dyDescent="0.3">
      <c r="B13" s="96"/>
      <c r="C13" s="201" t="s">
        <v>7</v>
      </c>
      <c r="D13" s="144"/>
      <c r="E13" s="203" t="s">
        <v>41</v>
      </c>
      <c r="F13" s="190" t="s">
        <v>8</v>
      </c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191"/>
      <c r="BH13" s="191"/>
      <c r="BI13" s="191"/>
      <c r="BJ13" s="191"/>
      <c r="BK13" s="191"/>
      <c r="BL13" s="191"/>
      <c r="BM13" s="192"/>
      <c r="BN13" s="190" t="s">
        <v>28</v>
      </c>
      <c r="BO13" s="191"/>
      <c r="BP13" s="191"/>
      <c r="BQ13" s="191"/>
      <c r="BR13" s="191"/>
      <c r="BS13" s="191"/>
      <c r="BT13" s="191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191"/>
      <c r="CO13" s="191"/>
      <c r="CP13" s="191"/>
      <c r="CQ13" s="191"/>
      <c r="CR13" s="191"/>
      <c r="CS13" s="191"/>
      <c r="CT13" s="191"/>
      <c r="CU13" s="191"/>
      <c r="CV13" s="191"/>
      <c r="CW13" s="191"/>
      <c r="CX13" s="191"/>
      <c r="CY13" s="191"/>
      <c r="CZ13" s="191"/>
      <c r="DA13" s="191"/>
      <c r="DB13" s="191"/>
      <c r="DC13" s="191"/>
      <c r="DD13" s="191"/>
      <c r="DE13" s="191"/>
      <c r="DF13" s="191"/>
      <c r="DG13" s="191"/>
      <c r="DH13" s="191"/>
      <c r="DI13" s="191"/>
      <c r="DJ13" s="191"/>
      <c r="DK13" s="191"/>
      <c r="DL13" s="191"/>
      <c r="DM13" s="191"/>
      <c r="DN13" s="191"/>
      <c r="DO13" s="191"/>
      <c r="DP13" s="191"/>
      <c r="DQ13" s="191"/>
      <c r="DR13" s="191"/>
      <c r="DS13" s="191"/>
      <c r="DT13" s="191"/>
      <c r="DU13" s="192"/>
      <c r="DV13" s="190" t="s">
        <v>19</v>
      </c>
      <c r="DW13" s="191"/>
      <c r="DX13" s="191"/>
      <c r="DY13" s="191"/>
      <c r="DZ13" s="191"/>
      <c r="EA13" s="191"/>
      <c r="EB13" s="191"/>
      <c r="EC13" s="191"/>
      <c r="ED13" s="191"/>
      <c r="EE13" s="191"/>
      <c r="EF13" s="191"/>
      <c r="EG13" s="191"/>
      <c r="EH13" s="191"/>
      <c r="EI13" s="191"/>
      <c r="EJ13" s="191"/>
      <c r="EK13" s="191"/>
      <c r="EL13" s="191"/>
      <c r="EM13" s="191"/>
      <c r="EN13" s="191"/>
      <c r="EO13" s="191"/>
      <c r="EP13" s="191"/>
      <c r="EQ13" s="191"/>
      <c r="ER13" s="191"/>
      <c r="ES13" s="191"/>
      <c r="ET13" s="191"/>
      <c r="EU13" s="191"/>
      <c r="EV13" s="191"/>
      <c r="EW13" s="191"/>
      <c r="EX13" s="191"/>
      <c r="EY13" s="191"/>
      <c r="EZ13" s="191"/>
      <c r="FA13" s="191"/>
      <c r="FB13" s="191"/>
      <c r="FC13" s="191"/>
      <c r="FD13" s="191"/>
      <c r="FE13" s="191"/>
      <c r="FF13" s="191"/>
      <c r="FG13" s="191"/>
      <c r="FH13" s="191"/>
      <c r="FI13" s="191"/>
      <c r="FJ13" s="191"/>
      <c r="FK13" s="191"/>
      <c r="FL13" s="191"/>
      <c r="FM13" s="191"/>
      <c r="FN13" s="191"/>
      <c r="FO13" s="191"/>
      <c r="FP13" s="191"/>
      <c r="FQ13" s="191"/>
      <c r="FR13" s="191"/>
      <c r="FS13" s="191"/>
      <c r="FT13" s="191"/>
      <c r="FU13" s="191"/>
      <c r="FV13" s="191"/>
      <c r="FW13" s="191"/>
      <c r="FX13" s="191"/>
      <c r="FY13" s="191"/>
      <c r="FZ13" s="191"/>
      <c r="GA13" s="191"/>
      <c r="GB13" s="191"/>
      <c r="GC13" s="192"/>
      <c r="GD13" s="190" t="s">
        <v>54</v>
      </c>
      <c r="GE13" s="191"/>
      <c r="GF13" s="191"/>
      <c r="GG13" s="191"/>
      <c r="GH13" s="191"/>
      <c r="GI13" s="191"/>
      <c r="GJ13" s="191"/>
      <c r="GK13" s="191"/>
      <c r="GL13" s="191"/>
      <c r="GM13" s="191"/>
      <c r="GN13" s="191"/>
      <c r="GO13" s="191"/>
      <c r="GP13" s="191"/>
      <c r="GQ13" s="191"/>
      <c r="GR13" s="191"/>
      <c r="GS13" s="191"/>
      <c r="GT13" s="191"/>
      <c r="GU13" s="191"/>
      <c r="GV13" s="191"/>
      <c r="GW13" s="191"/>
      <c r="GX13" s="191"/>
      <c r="GY13" s="191"/>
      <c r="GZ13" s="191"/>
      <c r="HA13" s="191"/>
      <c r="HB13" s="191"/>
      <c r="HC13" s="191"/>
      <c r="HD13" s="191"/>
      <c r="HE13" s="191"/>
      <c r="HF13" s="191"/>
      <c r="HG13" s="191"/>
      <c r="HH13" s="191"/>
      <c r="HI13" s="191"/>
      <c r="HJ13" s="191"/>
      <c r="HK13" s="191"/>
      <c r="HL13" s="191"/>
      <c r="HM13" s="191"/>
      <c r="HN13" s="191"/>
      <c r="HO13" s="191"/>
      <c r="HP13" s="191"/>
      <c r="HQ13" s="191"/>
      <c r="HR13" s="191"/>
      <c r="HS13" s="191"/>
      <c r="HT13" s="191"/>
      <c r="HU13" s="191"/>
      <c r="HV13" s="191"/>
      <c r="HW13" s="191"/>
      <c r="HX13" s="191"/>
      <c r="HY13" s="191"/>
      <c r="HZ13" s="191"/>
      <c r="IA13" s="191"/>
      <c r="IB13" s="191"/>
      <c r="IC13" s="191"/>
      <c r="ID13" s="191"/>
      <c r="IE13" s="191"/>
      <c r="IF13" s="191"/>
      <c r="IG13" s="191"/>
      <c r="IH13" s="191"/>
      <c r="II13" s="191"/>
      <c r="IJ13" s="191"/>
      <c r="IK13" s="192"/>
      <c r="IL13" s="190" t="s">
        <v>59</v>
      </c>
      <c r="IM13" s="191"/>
      <c r="IN13" s="191"/>
      <c r="IO13" s="191"/>
      <c r="IP13" s="191"/>
      <c r="IQ13" s="191"/>
      <c r="IR13" s="191"/>
      <c r="IS13" s="191"/>
      <c r="IT13" s="191"/>
      <c r="IU13" s="191"/>
      <c r="IV13" s="191"/>
      <c r="IW13" s="191"/>
      <c r="IX13" s="191"/>
      <c r="IY13" s="191"/>
      <c r="IZ13" s="191"/>
      <c r="JA13" s="191"/>
      <c r="JB13" s="191"/>
      <c r="JC13" s="191"/>
      <c r="JD13" s="191"/>
      <c r="JE13" s="191"/>
      <c r="JF13" s="191"/>
      <c r="JG13" s="191"/>
      <c r="JH13" s="191"/>
      <c r="JI13" s="191"/>
      <c r="JJ13" s="191"/>
      <c r="JK13" s="191"/>
      <c r="JL13" s="191"/>
      <c r="JM13" s="191"/>
      <c r="JN13" s="191"/>
      <c r="JO13" s="191"/>
      <c r="JP13" s="191"/>
      <c r="JQ13" s="191"/>
      <c r="JR13" s="191"/>
      <c r="JS13" s="191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2"/>
      <c r="KT13" s="190" t="s">
        <v>58</v>
      </c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2"/>
      <c r="NB13" s="190" t="s">
        <v>57</v>
      </c>
      <c r="NC13" s="191"/>
      <c r="ND13" s="191"/>
      <c r="NE13" s="191"/>
      <c r="NF13" s="191"/>
      <c r="NG13" s="191"/>
      <c r="NH13" s="191"/>
      <c r="NI13" s="191"/>
      <c r="NJ13" s="191"/>
      <c r="NK13" s="191"/>
      <c r="NL13" s="191"/>
      <c r="NM13" s="191"/>
      <c r="NN13" s="191"/>
      <c r="NO13" s="191"/>
      <c r="NP13" s="191"/>
      <c r="NQ13" s="191"/>
      <c r="NR13" s="191"/>
      <c r="NS13" s="191"/>
      <c r="NT13" s="191"/>
      <c r="NU13" s="191"/>
      <c r="NV13" s="191"/>
      <c r="NW13" s="191"/>
      <c r="NX13" s="191"/>
      <c r="NY13" s="191"/>
      <c r="NZ13" s="191"/>
      <c r="OA13" s="191"/>
      <c r="OB13" s="191"/>
      <c r="OC13" s="191"/>
      <c r="OD13" s="191"/>
      <c r="OE13" s="191"/>
      <c r="OF13" s="191"/>
      <c r="OG13" s="191"/>
      <c r="OH13" s="191"/>
      <c r="OI13" s="191"/>
      <c r="OJ13" s="191"/>
      <c r="OK13" s="191"/>
      <c r="OL13" s="191"/>
      <c r="OM13" s="191"/>
      <c r="ON13" s="191"/>
      <c r="OO13" s="191"/>
      <c r="OP13" s="191"/>
      <c r="OQ13" s="191"/>
      <c r="OR13" s="191"/>
      <c r="OS13" s="191"/>
      <c r="OT13" s="191"/>
      <c r="OU13" s="191"/>
      <c r="OV13" s="191"/>
      <c r="OW13" s="191"/>
      <c r="OX13" s="191"/>
      <c r="OY13" s="191"/>
      <c r="OZ13" s="191"/>
      <c r="PA13" s="191"/>
      <c r="PB13" s="191"/>
      <c r="PC13" s="191"/>
      <c r="PD13" s="191"/>
      <c r="PE13" s="191"/>
      <c r="PF13" s="191"/>
      <c r="PG13" s="191"/>
      <c r="PH13" s="191"/>
      <c r="PI13" s="192"/>
      <c r="PJ13" s="190" t="s">
        <v>56</v>
      </c>
      <c r="PK13" s="191"/>
      <c r="PL13" s="191"/>
      <c r="PM13" s="191"/>
      <c r="PN13" s="191"/>
      <c r="PO13" s="191"/>
      <c r="PP13" s="191"/>
      <c r="PQ13" s="191"/>
      <c r="PR13" s="191"/>
      <c r="PS13" s="191"/>
      <c r="PT13" s="191"/>
      <c r="PU13" s="191"/>
      <c r="PV13" s="191"/>
      <c r="PW13" s="191"/>
      <c r="PX13" s="191"/>
      <c r="PY13" s="191"/>
      <c r="PZ13" s="191"/>
      <c r="QA13" s="191"/>
      <c r="QB13" s="191"/>
      <c r="QC13" s="191"/>
      <c r="QD13" s="191"/>
      <c r="QE13" s="191"/>
      <c r="QF13" s="191"/>
      <c r="QG13" s="191"/>
      <c r="QH13" s="191"/>
      <c r="QI13" s="191"/>
      <c r="QJ13" s="191"/>
      <c r="QK13" s="191"/>
      <c r="QL13" s="191"/>
      <c r="QM13" s="191"/>
      <c r="QN13" s="191"/>
      <c r="QO13" s="191"/>
      <c r="QP13" s="191"/>
      <c r="QQ13" s="191"/>
      <c r="QR13" s="191"/>
      <c r="QS13" s="191"/>
      <c r="QT13" s="191"/>
      <c r="QU13" s="191"/>
      <c r="QV13" s="191"/>
      <c r="QW13" s="191"/>
      <c r="QX13" s="191"/>
      <c r="QY13" s="191"/>
      <c r="QZ13" s="191"/>
      <c r="RA13" s="191"/>
      <c r="RB13" s="191"/>
      <c r="RC13" s="191"/>
      <c r="RD13" s="191"/>
      <c r="RE13" s="191"/>
      <c r="RF13" s="191"/>
      <c r="RG13" s="191"/>
      <c r="RH13" s="191"/>
      <c r="RI13" s="191"/>
      <c r="RJ13" s="191"/>
      <c r="RK13" s="191"/>
      <c r="RL13" s="191"/>
      <c r="RM13" s="191"/>
      <c r="RN13" s="191"/>
      <c r="RO13" s="191"/>
      <c r="RP13" s="191"/>
      <c r="RQ13" s="192"/>
      <c r="RR13" s="90"/>
    </row>
    <row r="14" spans="1:486" ht="12.75" customHeight="1" thickBot="1" x14ac:dyDescent="0.35">
      <c r="B14" s="96"/>
      <c r="C14" s="202"/>
      <c r="D14" s="145"/>
      <c r="E14" s="204"/>
      <c r="F14" s="103"/>
      <c r="G14" s="104"/>
      <c r="H14" s="104"/>
      <c r="I14" s="104"/>
      <c r="J14" s="193" t="s">
        <v>36</v>
      </c>
      <c r="K14" s="193"/>
      <c r="L14" s="193"/>
      <c r="M14" s="193"/>
      <c r="N14" s="104"/>
      <c r="O14" s="104"/>
      <c r="P14" s="194" t="s">
        <v>24</v>
      </c>
      <c r="Q14" s="194"/>
      <c r="R14" s="194"/>
      <c r="S14" s="194"/>
      <c r="T14" s="129"/>
      <c r="U14" s="129"/>
      <c r="V14" s="193" t="s">
        <v>37</v>
      </c>
      <c r="W14" s="193"/>
      <c r="X14" s="193"/>
      <c r="Y14" s="193"/>
      <c r="Z14" s="104"/>
      <c r="AA14" s="104"/>
      <c r="AB14" s="194" t="s">
        <v>25</v>
      </c>
      <c r="AC14" s="194"/>
      <c r="AD14" s="194"/>
      <c r="AE14" s="194"/>
      <c r="AF14" s="129"/>
      <c r="AG14" s="129"/>
      <c r="AH14" s="193" t="s">
        <v>38</v>
      </c>
      <c r="AI14" s="193"/>
      <c r="AJ14" s="193"/>
      <c r="AK14" s="193"/>
      <c r="AL14" s="104"/>
      <c r="AM14" s="104"/>
      <c r="AN14" s="194" t="s">
        <v>26</v>
      </c>
      <c r="AO14" s="194"/>
      <c r="AP14" s="194"/>
      <c r="AQ14" s="194"/>
      <c r="AR14" s="129"/>
      <c r="AS14" s="129"/>
      <c r="AT14" s="193" t="s">
        <v>39</v>
      </c>
      <c r="AU14" s="193"/>
      <c r="AV14" s="193"/>
      <c r="AW14" s="193"/>
      <c r="AX14" s="104"/>
      <c r="AY14" s="104"/>
      <c r="AZ14" s="194" t="s">
        <v>27</v>
      </c>
      <c r="BA14" s="194"/>
      <c r="BB14" s="194"/>
      <c r="BC14" s="194"/>
      <c r="BD14" s="129"/>
      <c r="BE14" s="129"/>
      <c r="BF14" s="193" t="s">
        <v>40</v>
      </c>
      <c r="BG14" s="193"/>
      <c r="BH14" s="193"/>
      <c r="BI14" s="193"/>
      <c r="BJ14" s="104"/>
      <c r="BK14" s="104"/>
      <c r="BL14" s="104"/>
      <c r="BM14" s="105"/>
      <c r="BN14" s="103"/>
      <c r="BO14" s="104"/>
      <c r="BP14" s="104"/>
      <c r="BQ14" s="104"/>
      <c r="BR14" s="193" t="s">
        <v>36</v>
      </c>
      <c r="BS14" s="193"/>
      <c r="BT14" s="193"/>
      <c r="BU14" s="193"/>
      <c r="BV14" s="104"/>
      <c r="BW14" s="104"/>
      <c r="BX14" s="194" t="s">
        <v>24</v>
      </c>
      <c r="BY14" s="194"/>
      <c r="BZ14" s="194"/>
      <c r="CA14" s="194"/>
      <c r="CB14" s="129"/>
      <c r="CC14" s="129"/>
      <c r="CD14" s="193" t="s">
        <v>37</v>
      </c>
      <c r="CE14" s="193"/>
      <c r="CF14" s="193"/>
      <c r="CG14" s="193"/>
      <c r="CH14" s="104"/>
      <c r="CI14" s="104"/>
      <c r="CJ14" s="194" t="s">
        <v>25</v>
      </c>
      <c r="CK14" s="194"/>
      <c r="CL14" s="194"/>
      <c r="CM14" s="194"/>
      <c r="CN14" s="129"/>
      <c r="CO14" s="129"/>
      <c r="CP14" s="193" t="s">
        <v>38</v>
      </c>
      <c r="CQ14" s="193"/>
      <c r="CR14" s="193"/>
      <c r="CS14" s="193"/>
      <c r="CT14" s="104"/>
      <c r="CU14" s="104"/>
      <c r="CV14" s="194" t="s">
        <v>26</v>
      </c>
      <c r="CW14" s="194"/>
      <c r="CX14" s="194"/>
      <c r="CY14" s="194"/>
      <c r="CZ14" s="129"/>
      <c r="DA14" s="129"/>
      <c r="DB14" s="193" t="s">
        <v>39</v>
      </c>
      <c r="DC14" s="193"/>
      <c r="DD14" s="193"/>
      <c r="DE14" s="193"/>
      <c r="DF14" s="104"/>
      <c r="DG14" s="104"/>
      <c r="DH14" s="194" t="s">
        <v>27</v>
      </c>
      <c r="DI14" s="194"/>
      <c r="DJ14" s="194"/>
      <c r="DK14" s="194"/>
      <c r="DL14" s="129"/>
      <c r="DM14" s="129"/>
      <c r="DN14" s="193" t="s">
        <v>40</v>
      </c>
      <c r="DO14" s="193"/>
      <c r="DP14" s="193"/>
      <c r="DQ14" s="193"/>
      <c r="DR14" s="104"/>
      <c r="DS14" s="104"/>
      <c r="DT14" s="104"/>
      <c r="DU14" s="105"/>
      <c r="DV14" s="103"/>
      <c r="DW14" s="104"/>
      <c r="DX14" s="104"/>
      <c r="DY14" s="104"/>
      <c r="DZ14" s="193" t="s">
        <v>36</v>
      </c>
      <c r="EA14" s="193"/>
      <c r="EB14" s="193"/>
      <c r="EC14" s="193"/>
      <c r="ED14" s="104"/>
      <c r="EE14" s="104"/>
      <c r="EF14" s="194" t="s">
        <v>24</v>
      </c>
      <c r="EG14" s="194"/>
      <c r="EH14" s="194"/>
      <c r="EI14" s="194"/>
      <c r="EJ14" s="129"/>
      <c r="EK14" s="129"/>
      <c r="EL14" s="193" t="s">
        <v>37</v>
      </c>
      <c r="EM14" s="193"/>
      <c r="EN14" s="193"/>
      <c r="EO14" s="193"/>
      <c r="EP14" s="104"/>
      <c r="EQ14" s="104"/>
      <c r="ER14" s="194" t="s">
        <v>25</v>
      </c>
      <c r="ES14" s="194"/>
      <c r="ET14" s="194"/>
      <c r="EU14" s="194"/>
      <c r="EV14" s="129"/>
      <c r="EW14" s="129"/>
      <c r="EX14" s="193" t="s">
        <v>38</v>
      </c>
      <c r="EY14" s="193"/>
      <c r="EZ14" s="193"/>
      <c r="FA14" s="193"/>
      <c r="FB14" s="104"/>
      <c r="FC14" s="104"/>
      <c r="FD14" s="194" t="s">
        <v>26</v>
      </c>
      <c r="FE14" s="194"/>
      <c r="FF14" s="194"/>
      <c r="FG14" s="194"/>
      <c r="FH14" s="129"/>
      <c r="FI14" s="129"/>
      <c r="FJ14" s="193" t="s">
        <v>39</v>
      </c>
      <c r="FK14" s="193"/>
      <c r="FL14" s="193"/>
      <c r="FM14" s="193"/>
      <c r="FN14" s="104"/>
      <c r="FO14" s="104"/>
      <c r="FP14" s="194" t="s">
        <v>27</v>
      </c>
      <c r="FQ14" s="194"/>
      <c r="FR14" s="194"/>
      <c r="FS14" s="194"/>
      <c r="FT14" s="129"/>
      <c r="FU14" s="129"/>
      <c r="FV14" s="193" t="s">
        <v>40</v>
      </c>
      <c r="FW14" s="193"/>
      <c r="FX14" s="193"/>
      <c r="FY14" s="193"/>
      <c r="FZ14" s="104"/>
      <c r="GA14" s="104"/>
      <c r="GB14" s="104"/>
      <c r="GC14" s="105"/>
      <c r="GD14" s="103"/>
      <c r="GE14" s="104"/>
      <c r="GF14" s="104"/>
      <c r="GG14" s="104"/>
      <c r="GH14" s="193" t="s">
        <v>36</v>
      </c>
      <c r="GI14" s="193"/>
      <c r="GJ14" s="193"/>
      <c r="GK14" s="193"/>
      <c r="GL14" s="104"/>
      <c r="GM14" s="104"/>
      <c r="GN14" s="194" t="s">
        <v>24</v>
      </c>
      <c r="GO14" s="194"/>
      <c r="GP14" s="194"/>
      <c r="GQ14" s="194"/>
      <c r="GR14" s="129"/>
      <c r="GS14" s="129"/>
      <c r="GT14" s="193" t="s">
        <v>37</v>
      </c>
      <c r="GU14" s="193"/>
      <c r="GV14" s="193"/>
      <c r="GW14" s="193"/>
      <c r="GX14" s="104"/>
      <c r="GY14" s="104"/>
      <c r="GZ14" s="194" t="s">
        <v>25</v>
      </c>
      <c r="HA14" s="194"/>
      <c r="HB14" s="194"/>
      <c r="HC14" s="194"/>
      <c r="HD14" s="129"/>
      <c r="HE14" s="129"/>
      <c r="HF14" s="193" t="s">
        <v>38</v>
      </c>
      <c r="HG14" s="193"/>
      <c r="HH14" s="193"/>
      <c r="HI14" s="193"/>
      <c r="HJ14" s="104"/>
      <c r="HK14" s="104"/>
      <c r="HL14" s="194" t="s">
        <v>26</v>
      </c>
      <c r="HM14" s="194"/>
      <c r="HN14" s="194"/>
      <c r="HO14" s="194"/>
      <c r="HP14" s="129"/>
      <c r="HQ14" s="129"/>
      <c r="HR14" s="193" t="s">
        <v>39</v>
      </c>
      <c r="HS14" s="193"/>
      <c r="HT14" s="193"/>
      <c r="HU14" s="193"/>
      <c r="HV14" s="104"/>
      <c r="HW14" s="104"/>
      <c r="HX14" s="194" t="s">
        <v>27</v>
      </c>
      <c r="HY14" s="194"/>
      <c r="HZ14" s="194"/>
      <c r="IA14" s="194"/>
      <c r="IB14" s="129"/>
      <c r="IC14" s="129"/>
      <c r="ID14" s="193" t="s">
        <v>40</v>
      </c>
      <c r="IE14" s="193"/>
      <c r="IF14" s="193"/>
      <c r="IG14" s="193"/>
      <c r="IH14" s="104"/>
      <c r="II14" s="104"/>
      <c r="IJ14" s="104"/>
      <c r="IK14" s="105"/>
      <c r="IL14" s="103"/>
      <c r="IM14" s="104"/>
      <c r="IN14" s="104"/>
      <c r="IO14" s="104"/>
      <c r="IP14" s="193" t="s">
        <v>36</v>
      </c>
      <c r="IQ14" s="193"/>
      <c r="IR14" s="193"/>
      <c r="IS14" s="193"/>
      <c r="IT14" s="104"/>
      <c r="IU14" s="104"/>
      <c r="IV14" s="194" t="s">
        <v>24</v>
      </c>
      <c r="IW14" s="194"/>
      <c r="IX14" s="194"/>
      <c r="IY14" s="194"/>
      <c r="IZ14" s="129"/>
      <c r="JA14" s="129"/>
      <c r="JB14" s="193" t="s">
        <v>37</v>
      </c>
      <c r="JC14" s="193"/>
      <c r="JD14" s="193"/>
      <c r="JE14" s="193"/>
      <c r="JF14" s="104"/>
      <c r="JG14" s="104"/>
      <c r="JH14" s="194" t="s">
        <v>25</v>
      </c>
      <c r="JI14" s="194"/>
      <c r="JJ14" s="194"/>
      <c r="JK14" s="194"/>
      <c r="JL14" s="129"/>
      <c r="JM14" s="129"/>
      <c r="JN14" s="193" t="s">
        <v>38</v>
      </c>
      <c r="JO14" s="193"/>
      <c r="JP14" s="193"/>
      <c r="JQ14" s="193"/>
      <c r="JR14" s="104"/>
      <c r="JS14" s="104"/>
      <c r="JT14" s="194" t="s">
        <v>26</v>
      </c>
      <c r="JU14" s="194"/>
      <c r="JV14" s="194"/>
      <c r="JW14" s="194"/>
      <c r="JX14" s="129"/>
      <c r="JY14" s="129"/>
      <c r="JZ14" s="193" t="s">
        <v>39</v>
      </c>
      <c r="KA14" s="193"/>
      <c r="KB14" s="193"/>
      <c r="KC14" s="193"/>
      <c r="KD14" s="104"/>
      <c r="KE14" s="104"/>
      <c r="KF14" s="194" t="s">
        <v>27</v>
      </c>
      <c r="KG14" s="194"/>
      <c r="KH14" s="194"/>
      <c r="KI14" s="194"/>
      <c r="KJ14" s="129"/>
      <c r="KK14" s="129"/>
      <c r="KL14" s="193" t="s">
        <v>40</v>
      </c>
      <c r="KM14" s="193"/>
      <c r="KN14" s="193"/>
      <c r="KO14" s="193"/>
      <c r="KP14" s="104"/>
      <c r="KQ14" s="104"/>
      <c r="KR14" s="104"/>
      <c r="KS14" s="105"/>
      <c r="KT14" s="103"/>
      <c r="KU14" s="104"/>
      <c r="KV14" s="104"/>
      <c r="KW14" s="104"/>
      <c r="KX14" s="193" t="s">
        <v>36</v>
      </c>
      <c r="KY14" s="193"/>
      <c r="KZ14" s="193"/>
      <c r="LA14" s="193"/>
      <c r="LB14" s="104"/>
      <c r="LC14" s="104"/>
      <c r="LD14" s="194" t="s">
        <v>24</v>
      </c>
      <c r="LE14" s="194"/>
      <c r="LF14" s="194"/>
      <c r="LG14" s="194"/>
      <c r="LH14" s="129"/>
      <c r="LI14" s="129"/>
      <c r="LJ14" s="193" t="s">
        <v>37</v>
      </c>
      <c r="LK14" s="193"/>
      <c r="LL14" s="193"/>
      <c r="LM14" s="193"/>
      <c r="LN14" s="104"/>
      <c r="LO14" s="104"/>
      <c r="LP14" s="194" t="s">
        <v>25</v>
      </c>
      <c r="LQ14" s="194"/>
      <c r="LR14" s="194"/>
      <c r="LS14" s="194"/>
      <c r="LT14" s="129"/>
      <c r="LU14" s="129"/>
      <c r="LV14" s="193" t="s">
        <v>38</v>
      </c>
      <c r="LW14" s="193"/>
      <c r="LX14" s="193"/>
      <c r="LY14" s="193"/>
      <c r="LZ14" s="104"/>
      <c r="MA14" s="104"/>
      <c r="MB14" s="194" t="s">
        <v>26</v>
      </c>
      <c r="MC14" s="194"/>
      <c r="MD14" s="194"/>
      <c r="ME14" s="194"/>
      <c r="MF14" s="129"/>
      <c r="MG14" s="129"/>
      <c r="MH14" s="193" t="s">
        <v>39</v>
      </c>
      <c r="MI14" s="193"/>
      <c r="MJ14" s="193"/>
      <c r="MK14" s="193"/>
      <c r="ML14" s="104"/>
      <c r="MM14" s="104"/>
      <c r="MN14" s="194" t="s">
        <v>27</v>
      </c>
      <c r="MO14" s="194"/>
      <c r="MP14" s="194"/>
      <c r="MQ14" s="194"/>
      <c r="MR14" s="129"/>
      <c r="MS14" s="129"/>
      <c r="MT14" s="193" t="s">
        <v>40</v>
      </c>
      <c r="MU14" s="193"/>
      <c r="MV14" s="193"/>
      <c r="MW14" s="193"/>
      <c r="MX14" s="104"/>
      <c r="MY14" s="104"/>
      <c r="MZ14" s="104"/>
      <c r="NA14" s="105"/>
      <c r="NB14" s="103"/>
      <c r="NC14" s="104"/>
      <c r="ND14" s="104"/>
      <c r="NE14" s="104"/>
      <c r="NF14" s="193" t="s">
        <v>36</v>
      </c>
      <c r="NG14" s="193"/>
      <c r="NH14" s="193"/>
      <c r="NI14" s="193"/>
      <c r="NJ14" s="104"/>
      <c r="NK14" s="104"/>
      <c r="NL14" s="194" t="s">
        <v>24</v>
      </c>
      <c r="NM14" s="194"/>
      <c r="NN14" s="194"/>
      <c r="NO14" s="194"/>
      <c r="NP14" s="129"/>
      <c r="NQ14" s="129"/>
      <c r="NR14" s="193" t="s">
        <v>37</v>
      </c>
      <c r="NS14" s="193"/>
      <c r="NT14" s="193"/>
      <c r="NU14" s="193"/>
      <c r="NV14" s="104"/>
      <c r="NW14" s="104"/>
      <c r="NX14" s="194" t="s">
        <v>25</v>
      </c>
      <c r="NY14" s="194"/>
      <c r="NZ14" s="194"/>
      <c r="OA14" s="194"/>
      <c r="OB14" s="129"/>
      <c r="OC14" s="129"/>
      <c r="OD14" s="193" t="s">
        <v>38</v>
      </c>
      <c r="OE14" s="193"/>
      <c r="OF14" s="193"/>
      <c r="OG14" s="193"/>
      <c r="OH14" s="104"/>
      <c r="OI14" s="104"/>
      <c r="OJ14" s="194" t="s">
        <v>26</v>
      </c>
      <c r="OK14" s="194"/>
      <c r="OL14" s="194"/>
      <c r="OM14" s="194"/>
      <c r="ON14" s="129"/>
      <c r="OO14" s="129"/>
      <c r="OP14" s="193" t="s">
        <v>39</v>
      </c>
      <c r="OQ14" s="193"/>
      <c r="OR14" s="193"/>
      <c r="OS14" s="193"/>
      <c r="OT14" s="104"/>
      <c r="OU14" s="104"/>
      <c r="OV14" s="194" t="s">
        <v>27</v>
      </c>
      <c r="OW14" s="194"/>
      <c r="OX14" s="194"/>
      <c r="OY14" s="194"/>
      <c r="OZ14" s="129"/>
      <c r="PA14" s="129"/>
      <c r="PB14" s="193" t="s">
        <v>40</v>
      </c>
      <c r="PC14" s="193"/>
      <c r="PD14" s="193"/>
      <c r="PE14" s="193"/>
      <c r="PF14" s="104"/>
      <c r="PG14" s="104"/>
      <c r="PH14" s="104"/>
      <c r="PI14" s="105"/>
      <c r="PJ14" s="103"/>
      <c r="PK14" s="104"/>
      <c r="PL14" s="104"/>
      <c r="PM14" s="104"/>
      <c r="PN14" s="193" t="s">
        <v>36</v>
      </c>
      <c r="PO14" s="193"/>
      <c r="PP14" s="193"/>
      <c r="PQ14" s="193"/>
      <c r="PR14" s="104"/>
      <c r="PS14" s="104"/>
      <c r="PT14" s="194" t="s">
        <v>24</v>
      </c>
      <c r="PU14" s="194"/>
      <c r="PV14" s="194"/>
      <c r="PW14" s="194"/>
      <c r="PX14" s="129"/>
      <c r="PY14" s="129"/>
      <c r="PZ14" s="193" t="s">
        <v>37</v>
      </c>
      <c r="QA14" s="193"/>
      <c r="QB14" s="193"/>
      <c r="QC14" s="193"/>
      <c r="QD14" s="104"/>
      <c r="QE14" s="104"/>
      <c r="QF14" s="194" t="s">
        <v>25</v>
      </c>
      <c r="QG14" s="194"/>
      <c r="QH14" s="194"/>
      <c r="QI14" s="194"/>
      <c r="QJ14" s="129"/>
      <c r="QK14" s="129"/>
      <c r="QL14" s="193" t="s">
        <v>38</v>
      </c>
      <c r="QM14" s="193"/>
      <c r="QN14" s="193"/>
      <c r="QO14" s="193"/>
      <c r="QP14" s="104"/>
      <c r="QQ14" s="104"/>
      <c r="QR14" s="194" t="s">
        <v>26</v>
      </c>
      <c r="QS14" s="194"/>
      <c r="QT14" s="194"/>
      <c r="QU14" s="194"/>
      <c r="QV14" s="129"/>
      <c r="QW14" s="129"/>
      <c r="QX14" s="193" t="s">
        <v>39</v>
      </c>
      <c r="QY14" s="193"/>
      <c r="QZ14" s="193"/>
      <c r="RA14" s="193"/>
      <c r="RB14" s="104"/>
      <c r="RC14" s="104"/>
      <c r="RD14" s="194" t="s">
        <v>27</v>
      </c>
      <c r="RE14" s="194"/>
      <c r="RF14" s="194"/>
      <c r="RG14" s="194"/>
      <c r="RH14" s="129"/>
      <c r="RI14" s="129"/>
      <c r="RJ14" s="193" t="s">
        <v>40</v>
      </c>
      <c r="RK14" s="193"/>
      <c r="RL14" s="193"/>
      <c r="RM14" s="193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7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8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7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9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7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9"/>
      <c r="D22" s="147" t="str">
        <f t="shared" si="0"/>
        <v>0h35min</v>
      </c>
      <c r="E22" s="35">
        <v>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16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69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167"/>
      <c r="LK22" s="176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7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9"/>
      <c r="CM23" s="179"/>
      <c r="CN23" s="179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9"/>
      <c r="EU23" s="179"/>
      <c r="EV23" s="179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9"/>
      <c r="HC23" s="179"/>
      <c r="HD23" s="179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9"/>
      <c r="JK23" s="179"/>
      <c r="JL23" s="179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9"/>
      <c r="LP23" s="179"/>
      <c r="LQ23" s="180"/>
      <c r="LR23" s="179"/>
      <c r="LS23" s="179"/>
      <c r="LT23" s="179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9"/>
      <c r="NX23" s="179"/>
      <c r="NY23" s="180"/>
      <c r="NZ23" s="179"/>
      <c r="OA23" s="179"/>
      <c r="OB23" s="179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179"/>
      <c r="QF23" s="179"/>
      <c r="QG23" s="180"/>
      <c r="QH23" s="179"/>
      <c r="QI23" s="179"/>
      <c r="QJ23" s="179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9"/>
      <c r="D24" s="147" t="str">
        <f t="shared" si="0"/>
        <v>1h30min</v>
      </c>
      <c r="E24" s="27">
        <v>18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181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177"/>
      <c r="JK24" s="177"/>
      <c r="JL24" s="177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182"/>
      <c r="KU24" s="183"/>
      <c r="KV24" s="183"/>
      <c r="KW24" s="183"/>
      <c r="KX24" s="177"/>
      <c r="KY24" s="184"/>
      <c r="KZ24" s="177"/>
      <c r="LA24" s="177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7" t="s">
        <v>51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8"/>
      <c r="D26" s="148" t="str">
        <f t="shared" si="0"/>
        <v>7h15min</v>
      </c>
      <c r="E26" s="35">
        <v>87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65"/>
      <c r="GE26" s="166"/>
      <c r="GF26" s="166"/>
      <c r="GG26" s="166"/>
      <c r="GH26" s="167"/>
      <c r="GI26" s="168"/>
      <c r="GJ26" s="167"/>
      <c r="GK26" s="167"/>
      <c r="GL26" s="167"/>
      <c r="GM26" s="167"/>
      <c r="GN26" s="167"/>
      <c r="GO26" s="169"/>
      <c r="GP26" s="167"/>
      <c r="GQ26" s="167"/>
      <c r="GR26" s="167"/>
      <c r="GS26" s="167"/>
      <c r="GT26" s="167"/>
      <c r="GU26" s="176"/>
      <c r="GV26" s="167"/>
      <c r="GW26" s="167"/>
      <c r="GX26" s="167"/>
      <c r="GY26" s="167"/>
      <c r="GZ26" s="167"/>
      <c r="HA26" s="169"/>
      <c r="HB26" s="167"/>
      <c r="HC26" s="16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165"/>
      <c r="IM26" s="166"/>
      <c r="IN26" s="166"/>
      <c r="IO26" s="166"/>
      <c r="IP26" s="167"/>
      <c r="IQ26" s="168"/>
      <c r="IR26" s="167"/>
      <c r="IS26" s="167"/>
      <c r="IT26" s="167"/>
      <c r="IU26" s="167"/>
      <c r="IV26" s="167"/>
      <c r="IW26" s="169"/>
      <c r="IX26" s="167"/>
      <c r="IY26" s="167"/>
      <c r="IZ26" s="167"/>
      <c r="JA26" s="167"/>
      <c r="JB26" s="167"/>
      <c r="JC26" s="176"/>
      <c r="JD26" s="167"/>
      <c r="JE26" s="167"/>
      <c r="JF26" s="167"/>
      <c r="JG26" s="167"/>
      <c r="JH26" s="16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167"/>
      <c r="LC26" s="167"/>
      <c r="LD26" s="167"/>
      <c r="LE26" s="169"/>
      <c r="LF26" s="167"/>
      <c r="LG26" s="167"/>
      <c r="LH26" s="167"/>
      <c r="LI26" s="16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7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7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7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7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7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9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7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7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9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7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7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7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9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7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7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7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9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7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7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9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7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7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7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9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7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7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7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9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7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7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9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7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7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7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9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7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7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7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9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7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9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9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15" t="s">
        <v>9</v>
      </c>
      <c r="D95" s="216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17"/>
      <c r="D96" s="218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11" t="s">
        <v>10</v>
      </c>
      <c r="D97" s="212"/>
      <c r="E97" s="118">
        <f>SUM(E16,E18,E20,E22,E24,E26,E28,E30,E32,E34,E36,E38,E40,E42,E44,E46,E48,E50,E52,E54,E56,E58,E60,E62,E64,E66,E68,E70,E72,E74,E76,E78,E80,E82,E84,E86,E88,E90,E92,E94)</f>
        <v>131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3"/>
      <c r="D98" s="214"/>
      <c r="E98" s="122" t="str">
        <f xml:space="preserve"> setValueToTime(E97)</f>
        <v>10h55min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opLeftCell="E1" zoomScaleNormal="100" zoomScaleSheetLayoutView="98" workbookViewId="0">
      <pane ySplit="1" topLeftCell="A86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47.140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5" t="s">
        <v>14</v>
      </c>
      <c r="F3" s="226"/>
      <c r="G3" s="46"/>
    </row>
    <row r="4" spans="1:7" s="52" customFormat="1" x14ac:dyDescent="0.3">
      <c r="A4" s="48" t="s">
        <v>51</v>
      </c>
      <c r="B4" s="49">
        <v>20</v>
      </c>
      <c r="C4" s="152" t="str">
        <f xml:space="preserve"> IF(B4="","",setValueToTime(B4))</f>
        <v>1h40min</v>
      </c>
      <c r="D4" s="50"/>
      <c r="E4" s="227"/>
      <c r="F4" s="228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9"/>
      <c r="F5" s="220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3"/>
      <c r="F12" s="22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5" t="s">
        <v>14</v>
      </c>
      <c r="F15" s="226"/>
      <c r="G15" s="46"/>
    </row>
    <row r="16" spans="1:7" s="52" customFormat="1" x14ac:dyDescent="0.3">
      <c r="A16" s="48" t="s">
        <v>51</v>
      </c>
      <c r="B16" s="49">
        <v>20</v>
      </c>
      <c r="C16" s="152" t="str">
        <f xml:space="preserve"> IF(B16="","",setValueToTime(B16))</f>
        <v>1h40min</v>
      </c>
      <c r="D16" s="50"/>
      <c r="E16" s="227"/>
      <c r="F16" s="228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9"/>
      <c r="F17" s="220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3"/>
      <c r="F24" s="22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45595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5" t="s">
        <v>14</v>
      </c>
      <c r="F27" s="226"/>
      <c r="G27" s="46"/>
    </row>
    <row r="28" spans="1:7" s="52" customFormat="1" x14ac:dyDescent="0.3">
      <c r="A28" s="48" t="s">
        <v>51</v>
      </c>
      <c r="B28" s="49">
        <v>20</v>
      </c>
      <c r="C28" s="152" t="str">
        <f xml:space="preserve"> IF(B28="","",setValueToTime(B28))</f>
        <v>1h40min</v>
      </c>
      <c r="D28" s="50"/>
      <c r="E28" s="227"/>
      <c r="F28" s="228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9"/>
      <c r="F29" s="220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9"/>
      <c r="F30" s="22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9"/>
      <c r="F31" s="22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9"/>
      <c r="F32" s="22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9"/>
      <c r="F33" s="22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9"/>
      <c r="F34" s="22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1"/>
      <c r="F35" s="222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3"/>
      <c r="F36" s="22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45574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5" t="s">
        <v>14</v>
      </c>
      <c r="F39" s="226"/>
      <c r="G39" s="46"/>
    </row>
    <row r="40" spans="1:7" s="52" customFormat="1" x14ac:dyDescent="0.3">
      <c r="A40" s="48" t="s">
        <v>51</v>
      </c>
      <c r="B40" s="49">
        <v>23</v>
      </c>
      <c r="C40" s="152" t="str">
        <f xml:space="preserve"> IF(B40="","",setValueToTime(B40))</f>
        <v>1h55min</v>
      </c>
      <c r="D40" s="50"/>
      <c r="E40" s="227"/>
      <c r="F40" s="228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9"/>
      <c r="F41" s="220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9"/>
      <c r="F42" s="22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9"/>
      <c r="F43" s="22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9"/>
      <c r="F44" s="22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9"/>
      <c r="F45" s="22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9"/>
      <c r="F46" s="22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1"/>
      <c r="F47" s="222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3"/>
      <c r="F48" s="22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45567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5" t="s">
        <v>14</v>
      </c>
      <c r="F51" s="226"/>
      <c r="G51" s="46"/>
    </row>
    <row r="52" spans="1:7" s="52" customFormat="1" x14ac:dyDescent="0.3">
      <c r="A52" s="48" t="s">
        <v>51</v>
      </c>
      <c r="B52" s="49">
        <v>23</v>
      </c>
      <c r="C52" s="152" t="str">
        <f xml:space="preserve"> IF(B52="","",setValueToTime(B52))</f>
        <v>1h55min</v>
      </c>
      <c r="D52" s="50"/>
      <c r="E52" s="227"/>
      <c r="F52" s="228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9"/>
      <c r="F53" s="220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9"/>
      <c r="F54" s="22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9"/>
      <c r="F55" s="22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9"/>
      <c r="F56" s="22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9"/>
      <c r="F57" s="22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9"/>
      <c r="F58" s="22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1"/>
      <c r="F59" s="222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3"/>
      <c r="F60" s="22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45560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5" t="s">
        <v>14</v>
      </c>
      <c r="F63" s="226"/>
      <c r="G63" s="46"/>
    </row>
    <row r="64" spans="1:7" s="52" customFormat="1" x14ac:dyDescent="0.3">
      <c r="A64" s="48" t="s">
        <v>51</v>
      </c>
      <c r="B64" s="49">
        <v>23</v>
      </c>
      <c r="C64" s="152" t="str">
        <f xml:space="preserve"> IF(B64="","",setValueToTime(B64))</f>
        <v>1h55min</v>
      </c>
      <c r="D64" s="50"/>
      <c r="E64" s="227"/>
      <c r="F64" s="228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9"/>
      <c r="F65" s="220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9"/>
      <c r="F66" s="22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9"/>
      <c r="F67" s="22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9"/>
      <c r="F68" s="22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9"/>
      <c r="F69" s="22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9"/>
      <c r="F70" s="22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1"/>
      <c r="F71" s="222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3"/>
      <c r="F72" s="22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45553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5" t="s">
        <v>14</v>
      </c>
      <c r="F75" s="226"/>
      <c r="G75" s="46"/>
    </row>
    <row r="76" spans="1:7" s="52" customFormat="1" x14ac:dyDescent="0.3">
      <c r="A76" s="48" t="s">
        <v>51</v>
      </c>
      <c r="B76" s="49">
        <v>23</v>
      </c>
      <c r="C76" s="152" t="str">
        <f xml:space="preserve"> IF(B76="","",setValueToTime(B76))</f>
        <v>1h55min</v>
      </c>
      <c r="D76" s="50"/>
      <c r="E76" s="227"/>
      <c r="F76" s="228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9"/>
      <c r="F77" s="220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9"/>
      <c r="F78" s="22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9"/>
      <c r="F79" s="22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9"/>
      <c r="F80" s="22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9"/>
      <c r="F81" s="22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9"/>
      <c r="F82" s="22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1"/>
      <c r="F83" s="222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3"/>
      <c r="F84" s="22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45546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5" t="s">
        <v>14</v>
      </c>
      <c r="F87" s="226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7"/>
      <c r="F88" s="228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9"/>
      <c r="F89" s="22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9"/>
      <c r="F90" s="22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9"/>
      <c r="F91" s="22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9"/>
      <c r="F92" s="22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9"/>
      <c r="F93" s="22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9"/>
      <c r="F94" s="22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1"/>
      <c r="F95" s="222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3"/>
      <c r="F96" s="224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6" priority="8" operator="greaterThan">
      <formula>60</formula>
    </cfRule>
  </conditionalFormatting>
  <conditionalFormatting sqref="B84">
    <cfRule type="cellIs" dxfId="15" priority="7" operator="greaterThan">
      <formula>60</formula>
    </cfRule>
  </conditionalFormatting>
  <conditionalFormatting sqref="B72">
    <cfRule type="cellIs" dxfId="14" priority="6" operator="greaterThan">
      <formula>60</formula>
    </cfRule>
  </conditionalFormatting>
  <conditionalFormatting sqref="B60">
    <cfRule type="cellIs" dxfId="13" priority="5" operator="greaterThan">
      <formula>60</formula>
    </cfRule>
  </conditionalFormatting>
  <conditionalFormatting sqref="B48">
    <cfRule type="cellIs" dxfId="12" priority="4" operator="greaterThan">
      <formula>60</formula>
    </cfRule>
  </conditionalFormatting>
  <conditionalFormatting sqref="B36">
    <cfRule type="cellIs" dxfId="11" priority="3" operator="greaterThan">
      <formula>60</formula>
    </cfRule>
  </conditionalFormatting>
  <conditionalFormatting sqref="B24">
    <cfRule type="cellIs" dxfId="10" priority="2" operator="greaterThan">
      <formula>60</formula>
    </cfRule>
  </conditionalFormatting>
  <conditionalFormatting sqref="B12">
    <cfRule type="cellIs" dxfId="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B8" sqref="B8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46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7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1" t="s">
        <v>14</v>
      </c>
      <c r="F3" s="232"/>
      <c r="G3" s="46"/>
    </row>
    <row r="4" spans="1:7" s="52" customFormat="1" ht="40.5" x14ac:dyDescent="0.3">
      <c r="A4" s="48" t="s">
        <v>51</v>
      </c>
      <c r="B4" s="49">
        <v>7</v>
      </c>
      <c r="C4" s="152" t="str">
        <f xml:space="preserve"> IF(B4="","",setValueToTime(B4))</f>
        <v>0h35min</v>
      </c>
      <c r="D4" s="50" t="s">
        <v>78</v>
      </c>
      <c r="E4" s="227" t="s">
        <v>79</v>
      </c>
      <c r="F4" s="22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9"/>
      <c r="F10" s="22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1"/>
      <c r="F11" s="222"/>
      <c r="G11" s="51"/>
    </row>
    <row r="12" spans="1:7" s="52" customFormat="1" ht="15" thickBot="1" x14ac:dyDescent="0.35">
      <c r="A12" s="162" t="s">
        <v>29</v>
      </c>
      <c r="B12" s="83">
        <f>SUM(B4:B11)</f>
        <v>7</v>
      </c>
      <c r="C12" s="162" t="str">
        <f xml:space="preserve"> setValueToTime(B12)</f>
        <v>0h35min</v>
      </c>
      <c r="D12" s="121"/>
      <c r="E12" s="229"/>
      <c r="F12" s="23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6</v>
      </c>
      <c r="C14" s="164"/>
      <c r="D14" s="157" t="s">
        <v>15</v>
      </c>
      <c r="E14" s="158">
        <v>45595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1" t="s">
        <v>14</v>
      </c>
      <c r="F15" s="232"/>
      <c r="G15" s="46"/>
    </row>
    <row r="16" spans="1:7" s="52" customFormat="1" x14ac:dyDescent="0.3">
      <c r="A16" s="48" t="s">
        <v>16</v>
      </c>
      <c r="B16" s="49">
        <v>8</v>
      </c>
      <c r="C16" s="152" t="str">
        <f xml:space="preserve"> IF(B16="","",setValueToTime(B16))</f>
        <v>0h40min</v>
      </c>
      <c r="D16" s="50" t="s">
        <v>77</v>
      </c>
      <c r="E16" s="227"/>
      <c r="F16" s="228"/>
      <c r="G16" s="51"/>
    </row>
    <row r="17" spans="1:7" s="52" customFormat="1" x14ac:dyDescent="0.3">
      <c r="A17" s="53" t="s">
        <v>51</v>
      </c>
      <c r="B17" s="54">
        <v>8</v>
      </c>
      <c r="C17" s="153" t="str">
        <f t="shared" ref="C17:C23" si="1" xml:space="preserve"> IF(B17="","",setValueToTime(B17))</f>
        <v>0h40min</v>
      </c>
      <c r="D17" s="55" t="s">
        <v>76</v>
      </c>
      <c r="E17" s="219"/>
      <c r="F17" s="220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 t="s">
        <v>60</v>
      </c>
      <c r="E18" s="219"/>
      <c r="F18" s="22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9"/>
      <c r="F19" s="22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9"/>
      <c r="F20" s="22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9"/>
      <c r="F21" s="22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9"/>
      <c r="F22" s="22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1"/>
      <c r="F23" s="222"/>
      <c r="G23" s="51"/>
    </row>
    <row r="24" spans="1:7" s="52" customFormat="1" ht="15" thickBot="1" x14ac:dyDescent="0.35">
      <c r="A24" s="162" t="s">
        <v>29</v>
      </c>
      <c r="B24" s="83">
        <f>SUM(B16:B23)</f>
        <v>18</v>
      </c>
      <c r="C24" s="162" t="str">
        <f xml:space="preserve"> setValueToTime(B24)</f>
        <v>1h30min</v>
      </c>
      <c r="D24" s="121"/>
      <c r="E24" s="229"/>
      <c r="F24" s="23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5</v>
      </c>
      <c r="C26" s="164"/>
      <c r="D26" s="157" t="s">
        <v>15</v>
      </c>
      <c r="E26" s="158">
        <v>45574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1" t="s">
        <v>14</v>
      </c>
      <c r="F27" s="232"/>
      <c r="G27" s="46"/>
    </row>
    <row r="28" spans="1:7" s="52" customFormat="1" ht="27" x14ac:dyDescent="0.3">
      <c r="A28" s="48" t="s">
        <v>51</v>
      </c>
      <c r="B28" s="49">
        <v>23</v>
      </c>
      <c r="C28" s="152" t="str">
        <f xml:space="preserve"> IF(B28="","",setValueToTime(B28))</f>
        <v>1h55min</v>
      </c>
      <c r="D28" s="50" t="s">
        <v>69</v>
      </c>
      <c r="E28" s="227"/>
      <c r="F28" s="228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 t="s">
        <v>60</v>
      </c>
      <c r="E29" s="219"/>
      <c r="F29" s="220"/>
      <c r="G29" s="51"/>
    </row>
    <row r="30" spans="1:7" s="52" customFormat="1" x14ac:dyDescent="0.3">
      <c r="A30" s="53" t="s">
        <v>16</v>
      </c>
      <c r="B30" s="54">
        <v>3</v>
      </c>
      <c r="C30" s="153" t="str">
        <f t="shared" si="2"/>
        <v>0h15min</v>
      </c>
      <c r="D30" s="55" t="s">
        <v>68</v>
      </c>
      <c r="E30" s="219"/>
      <c r="F30" s="22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9"/>
      <c r="F31" s="22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9"/>
      <c r="F32" s="22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9"/>
      <c r="F33" s="22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9"/>
      <c r="F34" s="22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1"/>
      <c r="F35" s="222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29"/>
      <c r="F36" s="23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4</v>
      </c>
      <c r="C38" s="164"/>
      <c r="D38" s="157" t="s">
        <v>15</v>
      </c>
      <c r="E38" s="158">
        <v>45567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1" t="s">
        <v>14</v>
      </c>
      <c r="F39" s="232"/>
      <c r="G39" s="46"/>
    </row>
    <row r="40" spans="1:7" s="52" customFormat="1" x14ac:dyDescent="0.3">
      <c r="A40" s="48" t="s">
        <v>51</v>
      </c>
      <c r="B40" s="49">
        <v>26</v>
      </c>
      <c r="C40" s="152" t="str">
        <f xml:space="preserve"> IF(B40="","",setValueToTime(B40))</f>
        <v>2h10min</v>
      </c>
      <c r="D40" s="50" t="s">
        <v>65</v>
      </c>
      <c r="E40" s="227"/>
      <c r="F40" s="228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 t="s">
        <v>60</v>
      </c>
      <c r="E41" s="219"/>
      <c r="F41" s="22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9"/>
      <c r="F42" s="22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9"/>
      <c r="F43" s="22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9"/>
      <c r="F44" s="22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9"/>
      <c r="F45" s="22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9"/>
      <c r="F46" s="22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1"/>
      <c r="F47" s="222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29"/>
      <c r="F48" s="230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3</v>
      </c>
      <c r="C50" s="164"/>
      <c r="D50" s="157" t="s">
        <v>15</v>
      </c>
      <c r="E50" s="158">
        <v>45560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31" t="s">
        <v>14</v>
      </c>
      <c r="F51" s="232"/>
      <c r="G51" s="46"/>
    </row>
    <row r="52" spans="1:7" s="52" customFormat="1" x14ac:dyDescent="0.3">
      <c r="A52" s="48" t="s">
        <v>51</v>
      </c>
      <c r="B52" s="49">
        <v>9</v>
      </c>
      <c r="C52" s="152" t="str">
        <f xml:space="preserve"> IF(B52="","",setValueToTime(B52))</f>
        <v>0h45min</v>
      </c>
      <c r="D52" s="50" t="s">
        <v>64</v>
      </c>
      <c r="E52" s="227"/>
      <c r="F52" s="228"/>
      <c r="G52" s="51"/>
    </row>
    <row r="53" spans="1:7" s="52" customFormat="1" x14ac:dyDescent="0.3">
      <c r="A53" s="53" t="s">
        <v>16</v>
      </c>
      <c r="B53" s="54">
        <v>2</v>
      </c>
      <c r="C53" s="153" t="str">
        <f t="shared" ref="C53:C59" si="4" xml:space="preserve"> IF(B53="","",setValueToTime(B53))</f>
        <v>0h10min</v>
      </c>
      <c r="D53" s="55" t="s">
        <v>63</v>
      </c>
      <c r="E53" s="219"/>
      <c r="F53" s="220"/>
      <c r="G53" s="51"/>
    </row>
    <row r="54" spans="1:7" s="52" customFormat="1" x14ac:dyDescent="0.3">
      <c r="A54" s="53" t="s">
        <v>17</v>
      </c>
      <c r="B54" s="54">
        <v>2</v>
      </c>
      <c r="C54" s="153" t="str">
        <f t="shared" si="4"/>
        <v>0h10min</v>
      </c>
      <c r="D54" s="55" t="s">
        <v>60</v>
      </c>
      <c r="E54" s="219"/>
      <c r="F54" s="220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9"/>
      <c r="F55" s="22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9"/>
      <c r="F56" s="22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9"/>
      <c r="F57" s="22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9"/>
      <c r="F58" s="22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1"/>
      <c r="F59" s="222"/>
      <c r="G59" s="51"/>
    </row>
    <row r="60" spans="1:7" s="52" customFormat="1" ht="15" thickBot="1" x14ac:dyDescent="0.35">
      <c r="A60" s="162" t="s">
        <v>29</v>
      </c>
      <c r="B60" s="83">
        <f>SUM(B52:B59)</f>
        <v>13</v>
      </c>
      <c r="C60" s="162" t="str">
        <f xml:space="preserve"> setValueToTime(B60)</f>
        <v>1h5min</v>
      </c>
      <c r="D60" s="121"/>
      <c r="E60" s="229"/>
      <c r="F60" s="230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</v>
      </c>
      <c r="C62" s="164"/>
      <c r="D62" s="157" t="s">
        <v>15</v>
      </c>
      <c r="E62" s="158">
        <v>45553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31" t="s">
        <v>14</v>
      </c>
      <c r="F63" s="232"/>
      <c r="G63" s="46"/>
    </row>
    <row r="64" spans="1:7" s="52" customFormat="1" x14ac:dyDescent="0.3">
      <c r="A64" s="48" t="s">
        <v>51</v>
      </c>
      <c r="B64" s="49">
        <v>21</v>
      </c>
      <c r="C64" s="152" t="str">
        <f xml:space="preserve"> IF(B64="","",setValueToTime(B64))</f>
        <v>1h45min</v>
      </c>
      <c r="D64" s="50" t="s">
        <v>61</v>
      </c>
      <c r="E64" s="227"/>
      <c r="F64" s="228"/>
      <c r="G64" s="51"/>
    </row>
    <row r="65" spans="1:7" s="52" customFormat="1" x14ac:dyDescent="0.3">
      <c r="A65" s="53" t="s">
        <v>16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19"/>
      <c r="F65" s="220"/>
      <c r="G65" s="51"/>
    </row>
    <row r="66" spans="1:7" s="52" customFormat="1" x14ac:dyDescent="0.3">
      <c r="A66" s="53" t="s">
        <v>17</v>
      </c>
      <c r="B66" s="54">
        <v>1</v>
      </c>
      <c r="C66" s="153" t="str">
        <f t="shared" si="5"/>
        <v>0h5min</v>
      </c>
      <c r="D66" s="55" t="s">
        <v>60</v>
      </c>
      <c r="E66" s="219"/>
      <c r="F66" s="22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9"/>
      <c r="F67" s="22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9"/>
      <c r="F68" s="22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9"/>
      <c r="F69" s="22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9"/>
      <c r="F70" s="22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1"/>
      <c r="F71" s="222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29"/>
      <c r="F72" s="230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1</v>
      </c>
      <c r="C74" s="164"/>
      <c r="D74" s="157" t="s">
        <v>15</v>
      </c>
      <c r="E74" s="158">
        <v>45546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31" t="s">
        <v>14</v>
      </c>
      <c r="F75" s="232"/>
      <c r="G75" s="46"/>
    </row>
    <row r="76" spans="1:7" s="52" customFormat="1" ht="27" x14ac:dyDescent="0.3">
      <c r="A76" s="48" t="s">
        <v>32</v>
      </c>
      <c r="B76" s="49">
        <v>18</v>
      </c>
      <c r="C76" s="152" t="str">
        <f xml:space="preserve"> IF(B76="","",setValueToTime(B76))</f>
        <v>1h30min</v>
      </c>
      <c r="D76" s="50" t="s">
        <v>52</v>
      </c>
      <c r="E76" s="227"/>
      <c r="F76" s="228"/>
      <c r="G76" s="51"/>
    </row>
    <row r="77" spans="1:7" s="52" customFormat="1" x14ac:dyDescent="0.3">
      <c r="A77" s="53" t="s">
        <v>47</v>
      </c>
      <c r="B77" s="54">
        <v>8</v>
      </c>
      <c r="C77" s="153" t="str">
        <f t="shared" ref="C77:C83" si="6" xml:space="preserve"> IF(B77="","",setValueToTime(B77))</f>
        <v>0h40min</v>
      </c>
      <c r="D77" s="55" t="s">
        <v>53</v>
      </c>
      <c r="E77" s="219"/>
      <c r="F77" s="220"/>
      <c r="G77" s="51"/>
    </row>
    <row r="78" spans="1:7" s="52" customFormat="1" x14ac:dyDescent="0.3">
      <c r="A78" s="53" t="s">
        <v>50</v>
      </c>
      <c r="B78" s="54">
        <v>1</v>
      </c>
      <c r="C78" s="153" t="str">
        <f t="shared" si="6"/>
        <v>0h5min</v>
      </c>
      <c r="D78" s="55"/>
      <c r="E78" s="219"/>
      <c r="F78" s="22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9"/>
      <c r="F79" s="22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9"/>
      <c r="F80" s="22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9"/>
      <c r="F81" s="22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9"/>
      <c r="F82" s="22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1"/>
      <c r="F83" s="222"/>
      <c r="G83" s="51"/>
    </row>
    <row r="84" spans="1:7" s="52" customFormat="1" ht="15" thickBot="1" x14ac:dyDescent="0.35">
      <c r="A84" s="162" t="s">
        <v>29</v>
      </c>
      <c r="B84" s="83">
        <f>SUM(B76:B83)</f>
        <v>27</v>
      </c>
      <c r="C84" s="162" t="str">
        <f xml:space="preserve"> setValueToTime(B84)</f>
        <v>2h15min</v>
      </c>
      <c r="D84" s="121"/>
      <c r="E84" s="229"/>
      <c r="F84" s="230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 xr:uid="{102994D9-AA17-4E67-AC14-438B01A84798}">
      <formula1>0</formula1>
      <formula2>60</formula2>
    </dataValidation>
    <dataValidation type="list" allowBlank="1" showInputMessage="1" showErrorMessage="1" sqref="A76:A83 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90"/>
    </row>
    <row r="11" spans="1:61" ht="18" x14ac:dyDescent="0.25">
      <c r="A11" s="188"/>
      <c r="B11" s="188"/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90"/>
    </row>
    <row r="12" spans="1:61" ht="18.75" thickBot="1" x14ac:dyDescent="0.3">
      <c r="A12" s="189"/>
      <c r="B12" s="189"/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90"/>
    </row>
    <row r="13" spans="1:61" ht="18.75" thickBot="1" x14ac:dyDescent="0.3">
      <c r="A13" s="190" t="s">
        <v>12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  <c r="AU13" s="191"/>
      <c r="AV13" s="191"/>
      <c r="AW13" s="191"/>
      <c r="AX13" s="191"/>
      <c r="AY13" s="191"/>
      <c r="AZ13" s="191"/>
      <c r="BA13" s="191"/>
      <c r="BB13" s="191"/>
      <c r="BC13" s="191"/>
      <c r="BD13" s="191"/>
      <c r="BE13" s="191"/>
      <c r="BF13" s="191"/>
      <c r="BG13" s="191"/>
      <c r="BH13" s="192"/>
      <c r="BI13" s="90"/>
    </row>
    <row r="14" spans="1:61" ht="15.75" thickBot="1" x14ac:dyDescent="0.35">
      <c r="A14" s="103"/>
      <c r="B14" s="104"/>
      <c r="C14" s="104"/>
      <c r="D14" s="104"/>
      <c r="E14" s="193" t="s">
        <v>36</v>
      </c>
      <c r="F14" s="193"/>
      <c r="G14" s="193"/>
      <c r="H14" s="193"/>
      <c r="I14" s="104"/>
      <c r="J14" s="104"/>
      <c r="K14" s="194" t="s">
        <v>24</v>
      </c>
      <c r="L14" s="194"/>
      <c r="M14" s="194"/>
      <c r="N14" s="194"/>
      <c r="O14" s="129"/>
      <c r="P14" s="129"/>
      <c r="Q14" s="193" t="s">
        <v>37</v>
      </c>
      <c r="R14" s="193"/>
      <c r="S14" s="193"/>
      <c r="T14" s="193"/>
      <c r="U14" s="104"/>
      <c r="V14" s="104"/>
      <c r="W14" s="194" t="s">
        <v>25</v>
      </c>
      <c r="X14" s="194"/>
      <c r="Y14" s="194"/>
      <c r="Z14" s="194"/>
      <c r="AA14" s="129"/>
      <c r="AB14" s="129"/>
      <c r="AC14" s="193" t="s">
        <v>38</v>
      </c>
      <c r="AD14" s="193"/>
      <c r="AE14" s="193"/>
      <c r="AF14" s="193"/>
      <c r="AG14" s="104"/>
      <c r="AH14" s="104"/>
      <c r="AI14" s="194" t="s">
        <v>26</v>
      </c>
      <c r="AJ14" s="194"/>
      <c r="AK14" s="194"/>
      <c r="AL14" s="194"/>
      <c r="AM14" s="129"/>
      <c r="AN14" s="129"/>
      <c r="AO14" s="193" t="s">
        <v>39</v>
      </c>
      <c r="AP14" s="193"/>
      <c r="AQ14" s="193"/>
      <c r="AR14" s="193"/>
      <c r="AS14" s="104"/>
      <c r="AT14" s="104"/>
      <c r="AU14" s="194" t="s">
        <v>27</v>
      </c>
      <c r="AV14" s="194"/>
      <c r="AW14" s="194"/>
      <c r="AX14" s="194"/>
      <c r="AY14" s="129"/>
      <c r="AZ14" s="129"/>
      <c r="BA14" s="193" t="s">
        <v>40</v>
      </c>
      <c r="BB14" s="193"/>
      <c r="BC14" s="193"/>
      <c r="BD14" s="19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5" t="s">
        <v>14</v>
      </c>
      <c r="F2" s="22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1" t="s">
        <v>14</v>
      </c>
      <c r="F2" s="23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7"/>
      <c r="F3" s="22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9"/>
      <c r="F4" s="22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9"/>
      <c r="F5" s="22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9"/>
      <c r="F6" s="22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9"/>
      <c r="F7" s="22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9"/>
      <c r="F8" s="22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9"/>
      <c r="F9" s="22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1"/>
      <c r="F10" s="222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9"/>
      <c r="F11" s="23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2025-01-13T13:12:04Z</dcterms:modified>
</cp:coreProperties>
</file>