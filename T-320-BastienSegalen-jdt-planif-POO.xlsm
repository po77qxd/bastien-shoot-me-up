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D:\projets\shoot-me-up\bastien-shoot-me-up\"/>
    </mc:Choice>
  </mc:AlternateContent>
  <xr:revisionPtr revIDLastSave="0" documentId="13_ncr:1_{A2B7349C-3CEC-497D-A978-089B1B029481}"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B24" i="12"/>
  <c r="C23" i="12"/>
  <c r="C22" i="12"/>
  <c r="C21" i="12"/>
  <c r="C20" i="12"/>
  <c r="C19" i="12"/>
  <c r="C18" i="12"/>
  <c r="B36" i="12"/>
  <c r="C35" i="12"/>
  <c r="C34" i="12"/>
  <c r="C33" i="12"/>
  <c r="C32" i="12"/>
  <c r="C31" i="12"/>
  <c r="B48" i="12"/>
  <c r="C47" i="12"/>
  <c r="C46" i="12"/>
  <c r="C45" i="12"/>
  <c r="C44" i="12"/>
  <c r="C43" i="12"/>
  <c r="C42" i="12"/>
  <c r="B60" i="12"/>
  <c r="C59" i="12"/>
  <c r="C58" i="12"/>
  <c r="C57" i="12"/>
  <c r="C56" i="12"/>
  <c r="C55" i="12"/>
  <c r="C54" i="12"/>
  <c r="B72" i="12"/>
  <c r="C71" i="12"/>
  <c r="C70" i="12"/>
  <c r="C69" i="12"/>
  <c r="C68" i="12"/>
  <c r="C67" i="12"/>
  <c r="C4" i="12"/>
  <c r="C6" i="12"/>
  <c r="C5" i="12"/>
  <c r="C12" i="12"/>
  <c r="C40" i="12"/>
  <c r="C30" i="12"/>
  <c r="C53" i="12"/>
  <c r="C28" i="12"/>
  <c r="C36" i="12"/>
  <c r="C48" i="12"/>
  <c r="C76" i="12"/>
  <c r="C60" i="12"/>
  <c r="C77" i="12"/>
  <c r="C66" i="12"/>
  <c r="C16" i="12"/>
  <c r="C52" i="12"/>
  <c r="C24" i="12"/>
  <c r="C64" i="12"/>
  <c r="C17" i="12"/>
  <c r="C65" i="12"/>
  <c r="C72" i="12"/>
  <c r="C41" i="12"/>
  <c r="C29" i="12"/>
  <c r="C78" i="12"/>
  <c r="B24" i="10" l="1"/>
  <c r="B12" i="10"/>
  <c r="C11" i="10"/>
  <c r="C10" i="10"/>
  <c r="C9" i="10"/>
  <c r="C8" i="10"/>
  <c r="C7" i="10"/>
  <c r="C23" i="10"/>
  <c r="C22" i="10"/>
  <c r="C21" i="10"/>
  <c r="B36" i="10"/>
  <c r="C35" i="10"/>
  <c r="C34" i="10"/>
  <c r="C33" i="10"/>
  <c r="B48" i="10"/>
  <c r="C47" i="10"/>
  <c r="C46" i="10"/>
  <c r="C45" i="10"/>
  <c r="B60" i="10"/>
  <c r="C59" i="10"/>
  <c r="C58" i="10"/>
  <c r="C57" i="10"/>
  <c r="B72" i="10"/>
  <c r="C71" i="10"/>
  <c r="C70" i="10"/>
  <c r="C69" i="10"/>
  <c r="B84" i="10"/>
  <c r="C83" i="10"/>
  <c r="C82" i="10"/>
  <c r="B84" i="12"/>
  <c r="C83" i="12"/>
  <c r="C82" i="12"/>
  <c r="C81" i="12"/>
  <c r="C80" i="12"/>
  <c r="B96" i="10"/>
  <c r="C95" i="10"/>
  <c r="C94" i="10"/>
  <c r="C93" i="10"/>
  <c r="C92" i="10"/>
  <c r="C91" i="10"/>
  <c r="C90" i="10"/>
  <c r="C10" i="15"/>
  <c r="C9" i="15"/>
  <c r="C8" i="15"/>
  <c r="C7" i="15"/>
  <c r="C6" i="15"/>
  <c r="C5" i="15"/>
  <c r="C4" i="15"/>
  <c r="C3" i="15"/>
  <c r="B11" i="15"/>
  <c r="C10" i="16"/>
  <c r="C9" i="16"/>
  <c r="C8" i="16"/>
  <c r="C7" i="16"/>
  <c r="C6" i="16"/>
  <c r="C5" i="16"/>
  <c r="C4" i="16"/>
  <c r="C3" i="16"/>
  <c r="B11" i="16"/>
  <c r="C81" i="10"/>
  <c r="C5" i="10"/>
  <c r="C6" i="10"/>
  <c r="C4" i="10"/>
  <c r="C52" i="10"/>
  <c r="C41" i="10"/>
  <c r="C18" i="10"/>
  <c r="C29" i="10"/>
  <c r="C11" i="16"/>
  <c r="C64" i="10"/>
  <c r="C68" i="10"/>
  <c r="C72" i="10"/>
  <c r="C19" i="10"/>
  <c r="C12" i="10"/>
  <c r="C78" i="10"/>
  <c r="C36" i="10"/>
  <c r="C44" i="10"/>
  <c r="C54" i="10"/>
  <c r="C48" i="10"/>
  <c r="C84" i="10"/>
  <c r="C77" i="10"/>
  <c r="C43" i="10"/>
  <c r="C88" i="10"/>
  <c r="C53" i="10"/>
  <c r="C55" i="10"/>
  <c r="C20" i="10"/>
  <c r="C40" i="10"/>
  <c r="C24" i="10"/>
  <c r="C16" i="10"/>
  <c r="C60" i="10"/>
  <c r="C30" i="10"/>
  <c r="C56" i="10"/>
  <c r="C96" i="10"/>
  <c r="C80" i="10"/>
  <c r="C11" i="15"/>
  <c r="C31" i="10"/>
  <c r="C42" i="10"/>
  <c r="C32" i="10"/>
  <c r="C66" i="10"/>
  <c r="C76" i="10"/>
  <c r="C28" i="10"/>
  <c r="C17" i="10"/>
  <c r="C67" i="10"/>
  <c r="C79" i="10"/>
  <c r="C65" i="10"/>
  <c r="C89"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79" i="12"/>
  <c r="C8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<sst xmlns="http://schemas.openxmlformats.org/spreadsheetml/2006/main" count="388" uniqueCount="72">
  <si>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</si>
  <si>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</si>
  <si>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</si>
  <si>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</si>
  <si>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</si>
  <si>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</si>
  <si>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</si>
  <si>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</si>
  <si>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</si>
  <si>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</si>
  <si>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</si>
  <si>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</si>
  <si>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</si>
  <si>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</si>
  <si>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</si>
  <si>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</si>
  <si>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</si>
  <si>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</si>
  <si>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</si>
  <si>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</si>
  <si>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</si>
  <si>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</si>
  <si>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</si>
  <si>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</si>
  <si>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</si>
  <si>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</si>
  <si>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</si>
  <si>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</si>
  <si>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</si>
  <si>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</si>
  <si>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</si>
  <si>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</si>
  <si>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</si>
  <si>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</si>
  <si>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</si>
  <si>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</si>
  <si>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</si>
  <si>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</si>
  <si>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</si>
  <si>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</si>
  <si>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</si>
  <si>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</si>
  <si>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</si>
  <si>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106-320-322</t>
  </si>
  <si>
    <t>Bastien Segalen</t>
  </si>
  <si>
    <t>MID2B</t>
  </si>
  <si>
    <t>Du 28.08.2024 au 01.11.2024</t>
  </si>
  <si>
    <t>MCD/MLD</t>
  </si>
  <si>
    <t>créer les fichiers demandé</t>
  </si>
  <si>
    <t>créer les MCD</t>
  </si>
  <si>
    <t>aider les autres</t>
  </si>
  <si>
    <t>mercredi, 28 août 2024</t>
  </si>
  <si>
    <t>dev - programmation</t>
  </si>
  <si>
    <t>Séquence 4</t>
  </si>
  <si>
    <t>vendredi, 30 août 2024</t>
  </si>
  <si>
    <t>Séquence 8</t>
  </si>
  <si>
    <t>Séquence 7</t>
  </si>
  <si>
    <t>Séquence 6</t>
  </si>
  <si>
    <t>Séquence 5</t>
  </si>
  <si>
    <t>aider les autres pur windows forms</t>
  </si>
  <si>
    <t>programme pour que le vaisseau bouge, debut du code des missiles</t>
  </si>
  <si>
    <t>journal de travail</t>
  </si>
  <si>
    <t>3h50min</t>
  </si>
  <si>
    <t>changement du déplacement du vaisseau pour qu'il soit fluide et qu'on puisse tirer des missiles en se déplacant, correction des missiles pour qu'ils apparaisent au bon endroit.</t>
  </si>
  <si>
    <t>Premier code de déplacement du vaisseau, et code des missiles</t>
  </si>
  <si>
    <t>faire la planification du projet</t>
  </si>
  <si>
    <t>création d'un projet Windons Forms</t>
  </si>
  <si>
    <t>Ajout des ennemis qui descendent, les missiles détruisent les ennemis, les missile sont supprimés quand il sortent du form, début du code du score</t>
  </si>
  <si>
    <t>2h40min</t>
  </si>
  <si>
    <t>- 1h10min</t>
  </si>
  <si>
    <t>Ajout des ennemis qui tir, du score, des vies, écran de fin de partie, changement de couleur (arriere plan, couleur des missiles), le joueur perd des vies s'il touche les ennemis, début du code des obstacles (les missiles et les ennemis détruisent les obstablces)</t>
  </si>
  <si>
    <t>plus possible de traverser les obstacle, ajout d'un rechargement du tir, ajout d'explosion a la mort des ennemis, ajout d'un powerup qui enleve le rechargement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</si>
</sst>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2" fontId="12" fillId="18" borderId="63" xfId="0" applyNumberFormat="1" applyFont="1" applyFill="1" applyBorder="1" applyAlignment="1">
      <alignment horizontal="center" vertical="center"/>
    </xf>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27" xfId="0" applyFont="1" applyFill="1" applyBorder="1" applyProtection="1"/>
    <xf numFmtId="0" fontId="2" fillId="19" borderId="19" xfId="0" applyFont="1" applyFill="1" applyBorder="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9" borderId="77"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19" borderId="19" xfId="0" applyFont="1" applyFill="1" applyBorder="1" applyProtection="1"/>
  </cellXfs>
  <cellStyles count="2">
    <cellStyle name="Lien hypertexte" xfId="1" builtinId="8"/>
    <cellStyle name="Normal" xfId="0" builtinId="0" customBuiltin="1"/>
  </cellStyles>
  <dxfs count="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0.75</c:v>
              </c:pt>
              <c:pt idx="2">
                <c:v>0</c:v>
              </c:pt>
              <c:pt idx="3">
                <c:v>0.57999998331069946</c:v>
              </c:pt>
              <c:pt idx="4">
                <c:v>2.5</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1.9199999570846558</c:v>
              </c:pt>
              <c:pt idx="2">
                <c:v>0</c:v>
              </c:pt>
              <c:pt idx="3">
                <c:v>0.41999998688697815</c:v>
              </c:pt>
              <c:pt idx="4">
                <c:v>0.33000001311302185</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342899</xdr:colOff>
      <xdr:row>1</xdr:row>
      <xdr:rowOff>38100</xdr:rowOff>
    </xdr:from>
    <xdr:to>
      <xdr:col>22</xdr:col>
      <xdr:colOff>104774</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443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3" t="s">
        <v>34</v>
      </c>
      <c r="C35" s="183"/>
      <c r="D35" s="183"/>
      <c r="E35" s="107" t="s">
        <v>62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4" t="s">
        <v>35</v>
      </c>
      <c r="C37" s="184"/>
      <c r="D37" s="184"/>
      <c r="E37" s="109" t="s">
        <v>68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171" t="s">
        <v>69</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RR99"/>
  <sheetViews>
    <sheetView showGridLines="0" topLeftCell="A63" zoomScale="70" zoomScaleNormal="70" zoomScaleSheetLayoutView="43" workbookViewId="0">
      <selection activeCell="F94" sqref="F94:RQ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485" width="1.140625" style="3" customWidth="1"/>
    <col min="486" max="486" width="2.7109375" style="3" customWidth="1"/>
    <col min="487" max="16384" width="11.42578125" style="3"/>
  </cols>
  <sheetData>
    <row r="1" spans="1:486" ht="35.1" customHeight="1" x14ac:dyDescent="0.25">
      <c r="B1" s="95"/>
      <c r="C1" s="193" t="s">
        <v>31</v>
      </c>
      <c r="D1" s="193"/>
      <c r="E1" s="19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93">
        <v>1</v>
      </c>
    </row>
    <row r="2" spans="1:4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90"/>
    </row>
    <row r="3" spans="1:48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90"/>
    </row>
    <row r="4" spans="1:48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90"/>
    </row>
    <row r="5" spans="1:48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90"/>
    </row>
    <row r="6" spans="1:48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90"/>
    </row>
    <row r="7" spans="1:486" ht="20.100000000000001" customHeight="1" thickBot="1" x14ac:dyDescent="0.3">
      <c r="B7" s="96"/>
      <c r="C7" s="194"/>
      <c r="D7" s="194"/>
      <c r="E7" s="19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90"/>
    </row>
    <row r="8" spans="1:486" ht="30" customHeight="1" x14ac:dyDescent="0.25">
      <c r="B8" s="96"/>
      <c r="C8" s="7" t="s">
        <v>3</v>
      </c>
      <c r="D8" s="140"/>
      <c r="E8" s="8" t="s">
        <v>46</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90"/>
    </row>
    <row r="9" spans="1:486" ht="30" customHeight="1" x14ac:dyDescent="0.25">
      <c r="B9" s="96"/>
      <c r="C9" s="12" t="s">
        <v>18</v>
      </c>
      <c r="D9" s="141"/>
      <c r="E9" s="13" t="s">
        <v>22</v>
      </c>
      <c r="F9" s="14"/>
      <c r="G9" s="198" t="str">
        <f>E96</f>
        <v>21h45min</v>
      </c>
      <c r="H9" s="198"/>
      <c r="I9" s="198"/>
      <c r="J9" s="198"/>
      <c r="K9" s="198"/>
      <c r="L9" s="198"/>
      <c r="M9" s="198"/>
      <c r="N9" s="198"/>
      <c r="O9" s="198"/>
      <c r="P9" s="198"/>
      <c r="Q9" s="198"/>
      <c r="R9" s="198"/>
      <c r="S9" s="198"/>
      <c r="T9" s="198"/>
      <c r="U9" s="198"/>
      <c r="V9" s="119"/>
      <c r="W9" s="207" t="s">
        <v>23</v>
      </c>
      <c r="X9" s="207"/>
      <c r="Y9" s="207"/>
      <c r="Z9" s="207"/>
      <c r="AA9" s="207"/>
      <c r="AB9" s="207"/>
      <c r="AC9" s="207"/>
      <c r="AD9" s="207"/>
      <c r="AE9" s="207"/>
      <c r="AF9" s="207"/>
      <c r="AG9" s="207"/>
      <c r="AH9" s="198" t="str">
        <f>E98</f>
        <v>21h15min</v>
      </c>
      <c r="AI9" s="198"/>
      <c r="AJ9" s="198"/>
      <c r="AK9" s="198"/>
      <c r="AL9" s="198"/>
      <c r="AM9" s="198"/>
      <c r="AN9" s="198"/>
      <c r="AO9" s="198"/>
      <c r="AP9" s="198"/>
      <c r="AQ9" s="198"/>
      <c r="AR9" s="198"/>
      <c r="AS9" s="198"/>
      <c r="AT9" s="198"/>
      <c r="AU9" s="198"/>
      <c r="AV9" s="198"/>
      <c r="AW9" s="19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90"/>
    </row>
    <row r="10" spans="1:4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c r="CO10" s="208"/>
      <c r="CP10" s="208"/>
      <c r="CQ10" s="92"/>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185"/>
      <c r="HJ10" s="185"/>
      <c r="HK10" s="185"/>
      <c r="HL10" s="185"/>
      <c r="HM10" s="185"/>
      <c r="HN10" s="185"/>
      <c r="HO10" s="185"/>
      <c r="HP10" s="185"/>
      <c r="HQ10" s="185"/>
      <c r="HR10" s="185"/>
      <c r="HS10" s="185"/>
      <c r="HT10" s="185"/>
      <c r="HU10" s="185"/>
      <c r="HV10" s="185"/>
      <c r="HW10" s="185"/>
      <c r="HX10" s="185"/>
      <c r="HY10" s="185"/>
      <c r="HZ10" s="185"/>
      <c r="IA10" s="185"/>
      <c r="IB10" s="185"/>
      <c r="IC10" s="185"/>
      <c r="ID10" s="185"/>
      <c r="IE10" s="185"/>
      <c r="IF10" s="185"/>
      <c r="IG10" s="185"/>
      <c r="IH10" s="185"/>
      <c r="II10" s="185"/>
      <c r="IJ10" s="185"/>
      <c r="IK10" s="185"/>
      <c r="IL10" s="185"/>
      <c r="IM10" s="185"/>
      <c r="IN10" s="185"/>
      <c r="IO10" s="185"/>
      <c r="IP10" s="185"/>
      <c r="IQ10" s="185"/>
      <c r="IR10" s="185"/>
      <c r="IS10" s="185"/>
      <c r="IT10" s="185"/>
      <c r="IU10" s="185"/>
      <c r="IV10" s="185"/>
      <c r="IW10" s="185"/>
      <c r="IX10" s="185"/>
      <c r="IY10" s="185"/>
      <c r="IZ10" s="185"/>
      <c r="JA10" s="185"/>
      <c r="JB10" s="185"/>
      <c r="JC10" s="185"/>
      <c r="JD10" s="185"/>
      <c r="JE10" s="185"/>
      <c r="JF10" s="185"/>
      <c r="JG10" s="185"/>
      <c r="JH10" s="185"/>
      <c r="JI10" s="185"/>
      <c r="JJ10" s="185"/>
      <c r="JK10" s="185"/>
      <c r="JL10" s="185"/>
      <c r="JM10" s="185"/>
      <c r="JN10" s="185"/>
      <c r="JO10" s="185"/>
      <c r="JP10" s="185"/>
      <c r="JQ10" s="185"/>
      <c r="JR10" s="185"/>
      <c r="JS10" s="185"/>
      <c r="JT10" s="185"/>
      <c r="JU10" s="185"/>
      <c r="JV10" s="185"/>
      <c r="JW10" s="185"/>
      <c r="JX10" s="185"/>
      <c r="JY10" s="185"/>
      <c r="JZ10" s="185"/>
      <c r="KA10" s="185"/>
      <c r="KB10" s="185"/>
      <c r="KC10" s="185"/>
      <c r="KD10" s="185"/>
      <c r="KE10" s="185"/>
      <c r="KF10" s="185"/>
      <c r="KG10" s="185"/>
      <c r="KH10" s="185"/>
      <c r="KI10" s="185"/>
      <c r="KJ10" s="185"/>
      <c r="KK10" s="185"/>
      <c r="KL10" s="185"/>
      <c r="KM10" s="185"/>
      <c r="KN10" s="185"/>
      <c r="KO10" s="185"/>
      <c r="KP10" s="185"/>
      <c r="KQ10" s="185"/>
      <c r="KR10" s="185"/>
      <c r="KS10" s="185"/>
      <c r="KT10" s="185"/>
      <c r="KU10" s="185"/>
      <c r="KV10" s="185"/>
      <c r="KW10" s="185"/>
      <c r="KX10" s="185"/>
      <c r="KY10" s="185"/>
      <c r="KZ10" s="185"/>
      <c r="LA10" s="185"/>
      <c r="LB10" s="185"/>
      <c r="LC10" s="185"/>
      <c r="LD10" s="185"/>
      <c r="LE10" s="185"/>
      <c r="LF10" s="185"/>
      <c r="LG10" s="185"/>
      <c r="LH10" s="185"/>
      <c r="LI10" s="185"/>
      <c r="LJ10" s="185"/>
      <c r="LK10" s="185"/>
      <c r="LL10" s="185"/>
      <c r="LM10" s="185"/>
      <c r="LN10" s="185"/>
      <c r="LO10" s="185"/>
      <c r="LP10" s="185"/>
      <c r="LQ10" s="185"/>
      <c r="LR10" s="185"/>
      <c r="LS10" s="185"/>
      <c r="LT10" s="185"/>
      <c r="LU10" s="185"/>
      <c r="LV10" s="185"/>
      <c r="LW10" s="185"/>
      <c r="LX10" s="185"/>
      <c r="LY10" s="185"/>
      <c r="LZ10" s="185"/>
      <c r="MA10" s="185"/>
      <c r="MB10" s="185"/>
      <c r="MC10" s="185"/>
      <c r="MD10" s="185"/>
      <c r="ME10" s="185"/>
      <c r="MF10" s="185"/>
      <c r="MG10" s="185"/>
      <c r="MH10" s="185"/>
      <c r="MI10" s="185"/>
      <c r="MJ10" s="185"/>
      <c r="MK10" s="185"/>
      <c r="ML10" s="185"/>
      <c r="MM10" s="185"/>
      <c r="MN10" s="185"/>
      <c r="MO10" s="185"/>
      <c r="MP10" s="185"/>
      <c r="MQ10" s="185"/>
      <c r="MR10" s="185"/>
      <c r="MS10" s="185"/>
      <c r="MT10" s="185"/>
      <c r="MU10" s="185"/>
      <c r="MV10" s="185"/>
      <c r="MW10" s="185"/>
      <c r="MX10" s="185"/>
      <c r="MY10" s="185"/>
      <c r="MZ10" s="185"/>
      <c r="NA10" s="185"/>
      <c r="NB10" s="185"/>
      <c r="NC10" s="185"/>
      <c r="ND10" s="185"/>
      <c r="NE10" s="185"/>
      <c r="NF10" s="185"/>
      <c r="NG10" s="185"/>
      <c r="NH10" s="185"/>
      <c r="NI10" s="185"/>
      <c r="NJ10" s="185"/>
      <c r="NK10" s="185"/>
      <c r="NL10" s="185"/>
      <c r="NM10" s="185"/>
      <c r="NN10" s="185"/>
      <c r="NO10" s="185"/>
      <c r="NP10" s="185"/>
      <c r="NQ10" s="185"/>
      <c r="NR10" s="185"/>
      <c r="NS10" s="185"/>
      <c r="NT10" s="185"/>
      <c r="NU10" s="185"/>
      <c r="NV10" s="185"/>
      <c r="NW10" s="185"/>
      <c r="NX10" s="185"/>
      <c r="NY10" s="185"/>
      <c r="NZ10" s="185"/>
      <c r="OA10" s="185"/>
      <c r="OB10" s="185"/>
      <c r="OC10" s="185"/>
      <c r="OD10" s="185"/>
      <c r="OE10" s="185"/>
      <c r="OF10" s="185"/>
      <c r="OG10" s="185"/>
      <c r="OH10" s="185"/>
      <c r="OI10" s="185"/>
      <c r="OJ10" s="185"/>
      <c r="OK10" s="185"/>
      <c r="OL10" s="185"/>
      <c r="OM10" s="185"/>
      <c r="ON10" s="185"/>
      <c r="OO10" s="185"/>
      <c r="OP10" s="185"/>
      <c r="OQ10" s="185"/>
      <c r="OR10" s="185"/>
      <c r="OS10" s="185"/>
      <c r="OT10" s="185"/>
      <c r="OU10" s="185"/>
      <c r="OV10" s="185"/>
      <c r="OW10" s="185"/>
      <c r="OX10" s="185"/>
      <c r="OY10" s="185"/>
      <c r="OZ10" s="185"/>
      <c r="PA10" s="185"/>
      <c r="PB10" s="185"/>
      <c r="PC10" s="185"/>
      <c r="PD10" s="185"/>
      <c r="PE10" s="185"/>
      <c r="PF10" s="185"/>
      <c r="PG10" s="185"/>
      <c r="PH10" s="185"/>
      <c r="PI10" s="185"/>
      <c r="PJ10" s="185"/>
      <c r="PK10" s="185"/>
      <c r="PL10" s="185"/>
      <c r="PM10" s="185"/>
      <c r="PN10" s="185"/>
      <c r="PO10" s="185"/>
      <c r="PP10" s="185"/>
      <c r="PQ10" s="185"/>
      <c r="PR10" s="185"/>
      <c r="PS10" s="185"/>
      <c r="PT10" s="185"/>
      <c r="PU10" s="185"/>
      <c r="PV10" s="185"/>
      <c r="PW10" s="185"/>
      <c r="PX10" s="185"/>
      <c r="PY10" s="185"/>
      <c r="PZ10" s="185"/>
      <c r="QA10" s="185"/>
      <c r="QB10" s="185"/>
      <c r="QC10" s="185"/>
      <c r="QD10" s="185"/>
      <c r="QE10" s="185"/>
      <c r="QF10" s="185"/>
      <c r="QG10" s="185"/>
      <c r="QH10" s="185"/>
      <c r="QI10" s="185"/>
      <c r="QJ10" s="185"/>
      <c r="QK10" s="185"/>
      <c r="QL10" s="185"/>
      <c r="QM10" s="185"/>
      <c r="QN10" s="185"/>
      <c r="QO10" s="185"/>
      <c r="QP10" s="185"/>
      <c r="QQ10" s="185"/>
      <c r="QR10" s="185"/>
      <c r="QS10" s="185"/>
      <c r="QT10" s="185"/>
      <c r="QU10" s="185"/>
      <c r="QV10" s="185"/>
      <c r="QW10" s="185"/>
      <c r="QX10" s="185"/>
      <c r="QY10" s="185"/>
      <c r="QZ10" s="185"/>
      <c r="RA10" s="185"/>
      <c r="RB10" s="185"/>
      <c r="RC10" s="185"/>
      <c r="RD10" s="185"/>
      <c r="RE10" s="185"/>
      <c r="RF10" s="185"/>
      <c r="RG10" s="185"/>
      <c r="RH10" s="185"/>
      <c r="RI10" s="185"/>
      <c r="RJ10" s="185"/>
      <c r="RK10" s="185"/>
      <c r="RL10" s="185"/>
      <c r="RM10" s="185"/>
      <c r="RN10" s="185"/>
      <c r="RO10" s="185"/>
      <c r="RP10" s="185"/>
      <c r="RQ10" s="185"/>
      <c r="RR10" s="90"/>
    </row>
    <row r="11" spans="1:486" ht="20.100000000000001" customHeight="1" x14ac:dyDescent="0.25">
      <c r="B11" s="96"/>
      <c r="C11" s="203"/>
      <c r="D11" s="203"/>
      <c r="E11" s="203"/>
      <c r="F11" s="206" t="s">
        <v>51</v>
      </c>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c r="BK11" s="206"/>
      <c r="BL11" s="206"/>
      <c r="BM11" s="206"/>
      <c r="BN11" s="206" t="s">
        <v>54</v>
      </c>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206"/>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206"/>
      <c r="DM11" s="206"/>
      <c r="DN11" s="206"/>
      <c r="DO11" s="206"/>
      <c r="DP11" s="206"/>
      <c r="DQ11" s="206"/>
      <c r="DR11" s="206"/>
      <c r="DS11" s="206"/>
      <c r="DT11" s="206"/>
      <c r="DU11" s="206"/>
      <c r="DV11" s="186" t="s">
        <v>54</v>
      </c>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t="s">
        <v>54</v>
      </c>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t="s">
        <v>54</v>
      </c>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t="s">
        <v>54</v>
      </c>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t="s">
        <v>54</v>
      </c>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t="s">
        <v>54</v>
      </c>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90"/>
    </row>
    <row r="12" spans="1:486" ht="15.75" customHeight="1" thickBot="1" x14ac:dyDescent="0.3">
      <c r="B12" s="97"/>
      <c r="C12" s="204"/>
      <c r="D12" s="204"/>
      <c r="E12" s="204"/>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205"/>
      <c r="BJ12" s="205"/>
      <c r="BK12" s="205"/>
      <c r="BL12" s="205"/>
      <c r="BM12" s="205"/>
      <c r="BN12" s="205"/>
      <c r="BO12" s="205"/>
      <c r="BP12" s="205"/>
      <c r="BQ12" s="205"/>
      <c r="BR12" s="205"/>
      <c r="BS12" s="205"/>
      <c r="BT12" s="205"/>
      <c r="BU12" s="205"/>
      <c r="BV12" s="205"/>
      <c r="BW12" s="205"/>
      <c r="BX12" s="205"/>
      <c r="BY12" s="205"/>
      <c r="BZ12" s="205"/>
      <c r="CA12" s="205"/>
      <c r="CB12" s="205"/>
      <c r="CC12" s="205"/>
      <c r="CD12" s="205"/>
      <c r="CE12" s="205"/>
      <c r="CF12" s="205"/>
      <c r="CG12" s="205"/>
      <c r="CH12" s="205"/>
      <c r="CI12" s="205"/>
      <c r="CJ12" s="205"/>
      <c r="CK12" s="205"/>
      <c r="CL12" s="205"/>
      <c r="CM12" s="205"/>
      <c r="CN12" s="205"/>
      <c r="CO12" s="205"/>
      <c r="CP12" s="205"/>
      <c r="CQ12" s="205"/>
      <c r="CR12" s="205"/>
      <c r="CS12" s="205"/>
      <c r="CT12" s="205"/>
      <c r="CU12" s="205"/>
      <c r="CV12" s="205"/>
      <c r="CW12" s="205"/>
      <c r="CX12" s="205"/>
      <c r="CY12" s="205"/>
      <c r="CZ12" s="205"/>
      <c r="DA12" s="205"/>
      <c r="DB12" s="205"/>
      <c r="DC12" s="205"/>
      <c r="DD12" s="205"/>
      <c r="DE12" s="205"/>
      <c r="DF12" s="205"/>
      <c r="DG12" s="205"/>
      <c r="DH12" s="205"/>
      <c r="DI12" s="205"/>
      <c r="DJ12" s="205"/>
      <c r="DK12" s="205"/>
      <c r="DL12" s="205"/>
      <c r="DM12" s="205"/>
      <c r="DN12" s="205"/>
      <c r="DO12" s="205"/>
      <c r="DP12" s="205"/>
      <c r="DQ12" s="205"/>
      <c r="DR12" s="205"/>
      <c r="DS12" s="205"/>
      <c r="DT12" s="205"/>
      <c r="DU12" s="205"/>
      <c r="DV12" s="187"/>
      <c r="DW12" s="187"/>
      <c r="DX12" s="187"/>
      <c r="DY12" s="187"/>
      <c r="DZ12" s="187"/>
      <c r="EA12" s="187"/>
      <c r="EB12" s="187"/>
      <c r="EC12" s="187"/>
      <c r="ED12" s="187"/>
      <c r="EE12" s="187"/>
      <c r="EF12" s="187"/>
      <c r="EG12" s="187"/>
      <c r="EH12" s="187"/>
      <c r="EI12" s="187"/>
      <c r="EJ12" s="187"/>
      <c r="EK12" s="187"/>
      <c r="EL12" s="187"/>
      <c r="EM12" s="187"/>
      <c r="EN12" s="187"/>
      <c r="EO12" s="187"/>
      <c r="EP12" s="187"/>
      <c r="EQ12" s="187"/>
      <c r="ER12" s="187"/>
      <c r="ES12" s="187"/>
      <c r="ET12" s="187"/>
      <c r="EU12" s="187"/>
      <c r="EV12" s="187"/>
      <c r="EW12" s="187"/>
      <c r="EX12" s="187"/>
      <c r="EY12" s="187"/>
      <c r="EZ12" s="187"/>
      <c r="FA12" s="187"/>
      <c r="FB12" s="187"/>
      <c r="FC12" s="187"/>
      <c r="FD12" s="187"/>
      <c r="FE12" s="187"/>
      <c r="FF12" s="187"/>
      <c r="FG12" s="187"/>
      <c r="FH12" s="187"/>
      <c r="FI12" s="187"/>
      <c r="FJ12" s="187"/>
      <c r="FK12" s="187"/>
      <c r="FL12" s="187"/>
      <c r="FM12" s="187"/>
      <c r="FN12" s="187"/>
      <c r="FO12" s="187"/>
      <c r="FP12" s="187"/>
      <c r="FQ12" s="187"/>
      <c r="FR12" s="187"/>
      <c r="FS12" s="187"/>
      <c r="FT12" s="187"/>
      <c r="FU12" s="187"/>
      <c r="FV12" s="187"/>
      <c r="FW12" s="187"/>
      <c r="FX12" s="187"/>
      <c r="FY12" s="187"/>
      <c r="FZ12" s="187"/>
      <c r="GA12" s="187"/>
      <c r="GB12" s="187"/>
      <c r="GC12" s="187"/>
      <c r="GD12" s="187"/>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7"/>
      <c r="KC12" s="187"/>
      <c r="KD12" s="187"/>
      <c r="KE12" s="187"/>
      <c r="KF12" s="187"/>
      <c r="KG12" s="187"/>
      <c r="KH12" s="187"/>
      <c r="KI12" s="187"/>
      <c r="KJ12" s="187"/>
      <c r="KK12" s="187"/>
      <c r="KL12" s="187"/>
      <c r="KM12" s="187"/>
      <c r="KN12" s="187"/>
      <c r="KO12" s="187"/>
      <c r="KP12" s="187"/>
      <c r="KQ12" s="187"/>
      <c r="KR12" s="187"/>
      <c r="KS12" s="187"/>
      <c r="KT12" s="187"/>
      <c r="KU12" s="187"/>
      <c r="KV12" s="187"/>
      <c r="KW12" s="187"/>
      <c r="KX12" s="187"/>
      <c r="KY12" s="187"/>
      <c r="KZ12" s="187"/>
      <c r="LA12" s="187"/>
      <c r="LB12" s="187"/>
      <c r="LC12" s="187"/>
      <c r="LD12" s="187"/>
      <c r="LE12" s="187"/>
      <c r="LF12" s="187"/>
      <c r="LG12" s="187"/>
      <c r="LH12" s="187"/>
      <c r="LI12" s="187"/>
      <c r="LJ12" s="187"/>
      <c r="LK12" s="187"/>
      <c r="LL12" s="187"/>
      <c r="LM12" s="187"/>
      <c r="LN12" s="187"/>
      <c r="LO12" s="187"/>
      <c r="LP12" s="187"/>
      <c r="LQ12" s="187"/>
      <c r="LR12" s="187"/>
      <c r="LS12" s="187"/>
      <c r="LT12" s="187"/>
      <c r="LU12" s="187"/>
      <c r="LV12" s="187"/>
      <c r="LW12" s="187"/>
      <c r="LX12" s="187"/>
      <c r="LY12" s="187"/>
      <c r="LZ12" s="187"/>
      <c r="MA12" s="187"/>
      <c r="MB12" s="187"/>
      <c r="MC12" s="187"/>
      <c r="MD12" s="187"/>
      <c r="ME12" s="187"/>
      <c r="MF12" s="187"/>
      <c r="MG12" s="187"/>
      <c r="MH12" s="187"/>
      <c r="MI12" s="187"/>
      <c r="MJ12" s="187"/>
      <c r="MK12" s="187"/>
      <c r="ML12" s="187"/>
      <c r="MM12" s="187"/>
      <c r="MN12" s="187"/>
      <c r="MO12" s="187"/>
      <c r="MP12" s="187"/>
      <c r="MQ12" s="187"/>
      <c r="MR12" s="187"/>
      <c r="MS12" s="187"/>
      <c r="MT12" s="187"/>
      <c r="MU12" s="187"/>
      <c r="MV12" s="187"/>
      <c r="MW12" s="187"/>
      <c r="MX12" s="187"/>
      <c r="MY12" s="187"/>
      <c r="MZ12" s="187"/>
      <c r="NA12" s="187"/>
      <c r="NB12" s="187"/>
      <c r="NC12" s="187"/>
      <c r="ND12" s="187"/>
      <c r="NE12" s="187"/>
      <c r="NF12" s="187"/>
      <c r="NG12" s="187"/>
      <c r="NH12" s="187"/>
      <c r="NI12" s="187"/>
      <c r="NJ12" s="187"/>
      <c r="NK12" s="187"/>
      <c r="NL12" s="187"/>
      <c r="NM12" s="187"/>
      <c r="NN12" s="187"/>
      <c r="NO12" s="187"/>
      <c r="NP12" s="187"/>
      <c r="NQ12" s="187"/>
      <c r="NR12" s="187"/>
      <c r="NS12" s="187"/>
      <c r="NT12" s="187"/>
      <c r="NU12" s="187"/>
      <c r="NV12" s="187"/>
      <c r="NW12" s="187"/>
      <c r="NX12" s="187"/>
      <c r="NY12" s="187"/>
      <c r="NZ12" s="187"/>
      <c r="OA12" s="187"/>
      <c r="OB12" s="187"/>
      <c r="OC12" s="187"/>
      <c r="OD12" s="187"/>
      <c r="OE12" s="187"/>
      <c r="OF12" s="187"/>
      <c r="OG12" s="187"/>
      <c r="OH12" s="187"/>
      <c r="OI12" s="187"/>
      <c r="OJ12" s="187"/>
      <c r="OK12" s="187"/>
      <c r="OL12" s="187"/>
      <c r="OM12" s="187"/>
      <c r="ON12" s="187"/>
      <c r="OO12" s="187"/>
      <c r="OP12" s="187"/>
      <c r="OQ12" s="187"/>
      <c r="OR12" s="187"/>
      <c r="OS12" s="187"/>
      <c r="OT12" s="187"/>
      <c r="OU12" s="187"/>
      <c r="OV12" s="187"/>
      <c r="OW12" s="187"/>
      <c r="OX12" s="187"/>
      <c r="OY12" s="187"/>
      <c r="OZ12" s="187"/>
      <c r="PA12" s="187"/>
      <c r="PB12" s="187"/>
      <c r="PC12" s="187"/>
      <c r="PD12" s="187"/>
      <c r="PE12" s="187"/>
      <c r="PF12" s="187"/>
      <c r="PG12" s="187"/>
      <c r="PH12" s="187"/>
      <c r="PI12" s="187"/>
      <c r="PJ12" s="187"/>
      <c r="PK12" s="187"/>
      <c r="PL12" s="187"/>
      <c r="PM12" s="187"/>
      <c r="PN12" s="187"/>
      <c r="PO12" s="187"/>
      <c r="PP12" s="187"/>
      <c r="PQ12" s="187"/>
      <c r="PR12" s="187"/>
      <c r="PS12" s="187"/>
      <c r="PT12" s="187"/>
      <c r="PU12" s="187"/>
      <c r="PV12" s="187"/>
      <c r="PW12" s="187"/>
      <c r="PX12" s="187"/>
      <c r="PY12" s="187"/>
      <c r="PZ12" s="187"/>
      <c r="QA12" s="187"/>
      <c r="QB12" s="187"/>
      <c r="QC12" s="187"/>
      <c r="QD12" s="187"/>
      <c r="QE12" s="187"/>
      <c r="QF12" s="187"/>
      <c r="QG12" s="187"/>
      <c r="QH12" s="187"/>
      <c r="QI12" s="187"/>
      <c r="QJ12" s="187"/>
      <c r="QK12" s="187"/>
      <c r="QL12" s="187"/>
      <c r="QM12" s="187"/>
      <c r="QN12" s="187"/>
      <c r="QO12" s="187"/>
      <c r="QP12" s="187"/>
      <c r="QQ12" s="187"/>
      <c r="QR12" s="187"/>
      <c r="QS12" s="187"/>
      <c r="QT12" s="187"/>
      <c r="QU12" s="187"/>
      <c r="QV12" s="187"/>
      <c r="QW12" s="187"/>
      <c r="QX12" s="187"/>
      <c r="QY12" s="187"/>
      <c r="QZ12" s="187"/>
      <c r="RA12" s="187"/>
      <c r="RB12" s="187"/>
      <c r="RC12" s="187"/>
      <c r="RD12" s="187"/>
      <c r="RE12" s="187"/>
      <c r="RF12" s="187"/>
      <c r="RG12" s="187"/>
      <c r="RH12" s="187"/>
      <c r="RI12" s="187"/>
      <c r="RJ12" s="187"/>
      <c r="RK12" s="187"/>
      <c r="RL12" s="187"/>
      <c r="RM12" s="187"/>
      <c r="RN12" s="187"/>
      <c r="RO12" s="187"/>
      <c r="RP12" s="187"/>
      <c r="RQ12" s="187"/>
      <c r="RR12" s="90"/>
    </row>
    <row r="13" spans="1:486" ht="42.75" customHeight="1" thickBot="1" x14ac:dyDescent="0.3">
      <c r="B13" s="96"/>
      <c r="C13" s="199" t="s">
        <v>7</v>
      </c>
      <c r="D13" s="144"/>
      <c r="E13" s="201" t="s">
        <v>41</v>
      </c>
      <c r="F13" s="188" t="s">
        <v>8</v>
      </c>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90"/>
      <c r="BN13" s="188" t="s">
        <v>28</v>
      </c>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c r="CM13" s="189"/>
      <c r="CN13" s="189"/>
      <c r="CO13" s="189"/>
      <c r="CP13" s="189"/>
      <c r="CQ13" s="189"/>
      <c r="CR13" s="189"/>
      <c r="CS13" s="189"/>
      <c r="CT13" s="189"/>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90"/>
      <c r="DV13" s="188" t="s">
        <v>19</v>
      </c>
      <c r="DW13" s="189"/>
      <c r="DX13" s="189"/>
      <c r="DY13" s="189"/>
      <c r="DZ13" s="189"/>
      <c r="EA13" s="189"/>
      <c r="EB13" s="189"/>
      <c r="EC13" s="189"/>
      <c r="ED13" s="189"/>
      <c r="EE13" s="189"/>
      <c r="EF13" s="189"/>
      <c r="EG13" s="189"/>
      <c r="EH13" s="189"/>
      <c r="EI13" s="189"/>
      <c r="EJ13" s="189"/>
      <c r="EK13" s="189"/>
      <c r="EL13" s="189"/>
      <c r="EM13" s="189"/>
      <c r="EN13" s="189"/>
      <c r="EO13" s="189"/>
      <c r="EP13" s="189"/>
      <c r="EQ13" s="189"/>
      <c r="ER13" s="189"/>
      <c r="ES13" s="189"/>
      <c r="ET13" s="189"/>
      <c r="EU13" s="189"/>
      <c r="EV13" s="189"/>
      <c r="EW13" s="189"/>
      <c r="EX13" s="189"/>
      <c r="EY13" s="189"/>
      <c r="EZ13" s="189"/>
      <c r="FA13" s="189"/>
      <c r="FB13" s="189"/>
      <c r="FC13" s="189"/>
      <c r="FD13" s="189"/>
      <c r="FE13" s="189"/>
      <c r="FF13" s="189"/>
      <c r="FG13" s="189"/>
      <c r="FH13" s="189"/>
      <c r="FI13" s="189"/>
      <c r="FJ13" s="189"/>
      <c r="FK13" s="189"/>
      <c r="FL13" s="189"/>
      <c r="FM13" s="189"/>
      <c r="FN13" s="189"/>
      <c r="FO13" s="189"/>
      <c r="FP13" s="189"/>
      <c r="FQ13" s="189"/>
      <c r="FR13" s="189"/>
      <c r="FS13" s="189"/>
      <c r="FT13" s="189"/>
      <c r="FU13" s="189"/>
      <c r="FV13" s="189"/>
      <c r="FW13" s="189"/>
      <c r="FX13" s="189"/>
      <c r="FY13" s="189"/>
      <c r="FZ13" s="189"/>
      <c r="GA13" s="189"/>
      <c r="GB13" s="189"/>
      <c r="GC13" s="190"/>
      <c r="GD13" s="188" t="s">
        <v>53</v>
      </c>
      <c r="GE13" s="189"/>
      <c r="GF13" s="189"/>
      <c r="GG13" s="189"/>
      <c r="GH13" s="189"/>
      <c r="GI13" s="189"/>
      <c r="GJ13" s="189"/>
      <c r="GK13" s="189"/>
      <c r="GL13" s="189"/>
      <c r="GM13" s="189"/>
      <c r="GN13" s="189"/>
      <c r="GO13" s="189"/>
      <c r="GP13" s="189"/>
      <c r="GQ13" s="189"/>
      <c r="GR13" s="189"/>
      <c r="GS13" s="189"/>
      <c r="GT13" s="189"/>
      <c r="GU13" s="189"/>
      <c r="GV13" s="189"/>
      <c r="GW13" s="189"/>
      <c r="GX13" s="189"/>
      <c r="GY13" s="189"/>
      <c r="GZ13" s="189"/>
      <c r="HA13" s="189"/>
      <c r="HB13" s="189"/>
      <c r="HC13" s="189"/>
      <c r="HD13" s="189"/>
      <c r="HE13" s="189"/>
      <c r="HF13" s="189"/>
      <c r="HG13" s="189"/>
      <c r="HH13" s="189"/>
      <c r="HI13" s="189"/>
      <c r="HJ13" s="189"/>
      <c r="HK13" s="189"/>
      <c r="HL13" s="189"/>
      <c r="HM13" s="189"/>
      <c r="HN13" s="189"/>
      <c r="HO13" s="189"/>
      <c r="HP13" s="189"/>
      <c r="HQ13" s="189"/>
      <c r="HR13" s="189"/>
      <c r="HS13" s="189"/>
      <c r="HT13" s="189"/>
      <c r="HU13" s="189"/>
      <c r="HV13" s="189"/>
      <c r="HW13" s="189"/>
      <c r="HX13" s="189"/>
      <c r="HY13" s="189"/>
      <c r="HZ13" s="189"/>
      <c r="IA13" s="189"/>
      <c r="IB13" s="189"/>
      <c r="IC13" s="189"/>
      <c r="ID13" s="189"/>
      <c r="IE13" s="189"/>
      <c r="IF13" s="189"/>
      <c r="IG13" s="189"/>
      <c r="IH13" s="189"/>
      <c r="II13" s="189"/>
      <c r="IJ13" s="189"/>
      <c r="IK13" s="190"/>
      <c r="IL13" s="188" t="s">
        <v>58</v>
      </c>
      <c r="IM13" s="189"/>
      <c r="IN13" s="189"/>
      <c r="IO13" s="189"/>
      <c r="IP13" s="189"/>
      <c r="IQ13" s="189"/>
      <c r="IR13" s="189"/>
      <c r="IS13" s="189"/>
      <c r="IT13" s="189"/>
      <c r="IU13" s="189"/>
      <c r="IV13" s="189"/>
      <c r="IW13" s="189"/>
      <c r="IX13" s="189"/>
      <c r="IY13" s="189"/>
      <c r="IZ13" s="189"/>
      <c r="JA13" s="189"/>
      <c r="JB13" s="189"/>
      <c r="JC13" s="189"/>
      <c r="JD13" s="189"/>
      <c r="JE13" s="189"/>
      <c r="JF13" s="189"/>
      <c r="JG13" s="189"/>
      <c r="JH13" s="189"/>
      <c r="JI13" s="189"/>
      <c r="JJ13" s="189"/>
      <c r="JK13" s="189"/>
      <c r="JL13" s="189"/>
      <c r="JM13" s="189"/>
      <c r="JN13" s="189"/>
      <c r="JO13" s="189"/>
      <c r="JP13" s="189"/>
      <c r="JQ13" s="189"/>
      <c r="JR13" s="189"/>
      <c r="JS13" s="189"/>
      <c r="JT13" s="189"/>
      <c r="JU13" s="189"/>
      <c r="JV13" s="189"/>
      <c r="JW13" s="189"/>
      <c r="JX13" s="189"/>
      <c r="JY13" s="189"/>
      <c r="JZ13" s="189"/>
      <c r="KA13" s="189"/>
      <c r="KB13" s="189"/>
      <c r="KC13" s="189"/>
      <c r="KD13" s="189"/>
      <c r="KE13" s="189"/>
      <c r="KF13" s="189"/>
      <c r="KG13" s="189"/>
      <c r="KH13" s="189"/>
      <c r="KI13" s="189"/>
      <c r="KJ13" s="189"/>
      <c r="KK13" s="189"/>
      <c r="KL13" s="189"/>
      <c r="KM13" s="189"/>
      <c r="KN13" s="189"/>
      <c r="KO13" s="189"/>
      <c r="KP13" s="189"/>
      <c r="KQ13" s="189"/>
      <c r="KR13" s="189"/>
      <c r="KS13" s="190"/>
      <c r="KT13" s="188" t="s">
        <v>57</v>
      </c>
      <c r="KU13" s="189"/>
      <c r="KV13" s="189"/>
      <c r="KW13" s="189"/>
      <c r="KX13" s="189"/>
      <c r="KY13" s="189"/>
      <c r="KZ13" s="189"/>
      <c r="LA13" s="189"/>
      <c r="LB13" s="189"/>
      <c r="LC13" s="189"/>
      <c r="LD13" s="189"/>
      <c r="LE13" s="189"/>
      <c r="LF13" s="189"/>
      <c r="LG13" s="189"/>
      <c r="LH13" s="189"/>
      <c r="LI13" s="189"/>
      <c r="LJ13" s="189"/>
      <c r="LK13" s="189"/>
      <c r="LL13" s="189"/>
      <c r="LM13" s="189"/>
      <c r="LN13" s="189"/>
      <c r="LO13" s="189"/>
      <c r="LP13" s="189"/>
      <c r="LQ13" s="189"/>
      <c r="LR13" s="189"/>
      <c r="LS13" s="189"/>
      <c r="LT13" s="189"/>
      <c r="LU13" s="189"/>
      <c r="LV13" s="189"/>
      <c r="LW13" s="189"/>
      <c r="LX13" s="189"/>
      <c r="LY13" s="189"/>
      <c r="LZ13" s="189"/>
      <c r="MA13" s="189"/>
      <c r="MB13" s="189"/>
      <c r="MC13" s="189"/>
      <c r="MD13" s="189"/>
      <c r="ME13" s="189"/>
      <c r="MF13" s="189"/>
      <c r="MG13" s="189"/>
      <c r="MH13" s="189"/>
      <c r="MI13" s="189"/>
      <c r="MJ13" s="189"/>
      <c r="MK13" s="189"/>
      <c r="ML13" s="189"/>
      <c r="MM13" s="189"/>
      <c r="MN13" s="189"/>
      <c r="MO13" s="189"/>
      <c r="MP13" s="189"/>
      <c r="MQ13" s="189"/>
      <c r="MR13" s="189"/>
      <c r="MS13" s="189"/>
      <c r="MT13" s="189"/>
      <c r="MU13" s="189"/>
      <c r="MV13" s="189"/>
      <c r="MW13" s="189"/>
      <c r="MX13" s="189"/>
      <c r="MY13" s="189"/>
      <c r="MZ13" s="189"/>
      <c r="NA13" s="190"/>
      <c r="NB13" s="188" t="s">
        <v>56</v>
      </c>
      <c r="NC13" s="189"/>
      <c r="ND13" s="189"/>
      <c r="NE13" s="189"/>
      <c r="NF13" s="189"/>
      <c r="NG13" s="189"/>
      <c r="NH13" s="189"/>
      <c r="NI13" s="189"/>
      <c r="NJ13" s="189"/>
      <c r="NK13" s="189"/>
      <c r="NL13" s="189"/>
      <c r="NM13" s="189"/>
      <c r="NN13" s="189"/>
      <c r="NO13" s="189"/>
      <c r="NP13" s="189"/>
      <c r="NQ13" s="189"/>
      <c r="NR13" s="189"/>
      <c r="NS13" s="189"/>
      <c r="NT13" s="189"/>
      <c r="NU13" s="189"/>
      <c r="NV13" s="189"/>
      <c r="NW13" s="189"/>
      <c r="NX13" s="189"/>
      <c r="NY13" s="189"/>
      <c r="NZ13" s="189"/>
      <c r="OA13" s="189"/>
      <c r="OB13" s="189"/>
      <c r="OC13" s="189"/>
      <c r="OD13" s="189"/>
      <c r="OE13" s="189"/>
      <c r="OF13" s="189"/>
      <c r="OG13" s="189"/>
      <c r="OH13" s="189"/>
      <c r="OI13" s="189"/>
      <c r="OJ13" s="189"/>
      <c r="OK13" s="189"/>
      <c r="OL13" s="189"/>
      <c r="OM13" s="189"/>
      <c r="ON13" s="189"/>
      <c r="OO13" s="189"/>
      <c r="OP13" s="189"/>
      <c r="OQ13" s="189"/>
      <c r="OR13" s="189"/>
      <c r="OS13" s="189"/>
      <c r="OT13" s="189"/>
      <c r="OU13" s="189"/>
      <c r="OV13" s="189"/>
      <c r="OW13" s="189"/>
      <c r="OX13" s="189"/>
      <c r="OY13" s="189"/>
      <c r="OZ13" s="189"/>
      <c r="PA13" s="189"/>
      <c r="PB13" s="189"/>
      <c r="PC13" s="189"/>
      <c r="PD13" s="189"/>
      <c r="PE13" s="189"/>
      <c r="PF13" s="189"/>
      <c r="PG13" s="189"/>
      <c r="PH13" s="189"/>
      <c r="PI13" s="190"/>
      <c r="PJ13" s="188" t="s">
        <v>55</v>
      </c>
      <c r="PK13" s="189"/>
      <c r="PL13" s="189"/>
      <c r="PM13" s="189"/>
      <c r="PN13" s="189"/>
      <c r="PO13" s="189"/>
      <c r="PP13" s="189"/>
      <c r="PQ13" s="189"/>
      <c r="PR13" s="189"/>
      <c r="PS13" s="189"/>
      <c r="PT13" s="189"/>
      <c r="PU13" s="189"/>
      <c r="PV13" s="189"/>
      <c r="PW13" s="189"/>
      <c r="PX13" s="189"/>
      <c r="PY13" s="189"/>
      <c r="PZ13" s="189"/>
      <c r="QA13" s="189"/>
      <c r="QB13" s="189"/>
      <c r="QC13" s="189"/>
      <c r="QD13" s="189"/>
      <c r="QE13" s="189"/>
      <c r="QF13" s="189"/>
      <c r="QG13" s="189"/>
      <c r="QH13" s="189"/>
      <c r="QI13" s="189"/>
      <c r="QJ13" s="189"/>
      <c r="QK13" s="189"/>
      <c r="QL13" s="189"/>
      <c r="QM13" s="189"/>
      <c r="QN13" s="189"/>
      <c r="QO13" s="189"/>
      <c r="QP13" s="189"/>
      <c r="QQ13" s="189"/>
      <c r="QR13" s="189"/>
      <c r="QS13" s="189"/>
      <c r="QT13" s="189"/>
      <c r="QU13" s="189"/>
      <c r="QV13" s="189"/>
      <c r="QW13" s="189"/>
      <c r="QX13" s="189"/>
      <c r="QY13" s="189"/>
      <c r="QZ13" s="189"/>
      <c r="RA13" s="189"/>
      <c r="RB13" s="189"/>
      <c r="RC13" s="189"/>
      <c r="RD13" s="189"/>
      <c r="RE13" s="189"/>
      <c r="RF13" s="189"/>
      <c r="RG13" s="189"/>
      <c r="RH13" s="189"/>
      <c r="RI13" s="189"/>
      <c r="RJ13" s="189"/>
      <c r="RK13" s="189"/>
      <c r="RL13" s="189"/>
      <c r="RM13" s="189"/>
      <c r="RN13" s="189"/>
      <c r="RO13" s="189"/>
      <c r="RP13" s="189"/>
      <c r="RQ13" s="190"/>
      <c r="RR13" s="90"/>
    </row>
    <row r="14" spans="1:486" ht="12.75" customHeight="1" thickBot="1" x14ac:dyDescent="0.35">
      <c r="B14" s="96"/>
      <c r="C14" s="200"/>
      <c r="D14" s="145"/>
      <c r="E14" s="202"/>
      <c r="F14" s="103"/>
      <c r="G14" s="104"/>
      <c r="H14" s="104"/>
      <c r="I14" s="104"/>
      <c r="J14" s="191" t="s">
        <v>36</v>
      </c>
      <c r="K14" s="191"/>
      <c r="L14" s="191"/>
      <c r="M14" s="191"/>
      <c r="N14" s="104"/>
      <c r="O14" s="104"/>
      <c r="P14" s="192" t="s">
        <v>24</v>
      </c>
      <c r="Q14" s="192"/>
      <c r="R14" s="192"/>
      <c r="S14" s="192"/>
      <c r="T14" s="129"/>
      <c r="U14" s="129"/>
      <c r="V14" s="191" t="s">
        <v>37</v>
      </c>
      <c r="W14" s="191"/>
      <c r="X14" s="191"/>
      <c r="Y14" s="191"/>
      <c r="Z14" s="104"/>
      <c r="AA14" s="104"/>
      <c r="AB14" s="192" t="s">
        <v>25</v>
      </c>
      <c r="AC14" s="192"/>
      <c r="AD14" s="192"/>
      <c r="AE14" s="192"/>
      <c r="AF14" s="129"/>
      <c r="AG14" s="129"/>
      <c r="AH14" s="191" t="s">
        <v>38</v>
      </c>
      <c r="AI14" s="191"/>
      <c r="AJ14" s="191"/>
      <c r="AK14" s="191"/>
      <c r="AL14" s="104"/>
      <c r="AM14" s="104"/>
      <c r="AN14" s="192" t="s">
        <v>26</v>
      </c>
      <c r="AO14" s="192"/>
      <c r="AP14" s="192"/>
      <c r="AQ14" s="192"/>
      <c r="AR14" s="129"/>
      <c r="AS14" s="129"/>
      <c r="AT14" s="191" t="s">
        <v>39</v>
      </c>
      <c r="AU14" s="191"/>
      <c r="AV14" s="191"/>
      <c r="AW14" s="191"/>
      <c r="AX14" s="104"/>
      <c r="AY14" s="104"/>
      <c r="AZ14" s="192" t="s">
        <v>27</v>
      </c>
      <c r="BA14" s="192"/>
      <c r="BB14" s="192"/>
      <c r="BC14" s="192"/>
      <c r="BD14" s="129"/>
      <c r="BE14" s="129"/>
      <c r="BF14" s="191" t="s">
        <v>40</v>
      </c>
      <c r="BG14" s="191"/>
      <c r="BH14" s="191"/>
      <c r="BI14" s="191"/>
      <c r="BJ14" s="104"/>
      <c r="BK14" s="104"/>
      <c r="BL14" s="104"/>
      <c r="BM14" s="105"/>
      <c r="BN14" s="103"/>
      <c r="BO14" s="104"/>
      <c r="BP14" s="104"/>
      <c r="BQ14" s="104"/>
      <c r="BR14" s="191" t="s">
        <v>36</v>
      </c>
      <c r="BS14" s="191"/>
      <c r="BT14" s="191"/>
      <c r="BU14" s="191"/>
      <c r="BV14" s="104"/>
      <c r="BW14" s="104"/>
      <c r="BX14" s="192" t="s">
        <v>24</v>
      </c>
      <c r="BY14" s="192"/>
      <c r="BZ14" s="192"/>
      <c r="CA14" s="192"/>
      <c r="CB14" s="129"/>
      <c r="CC14" s="129"/>
      <c r="CD14" s="191" t="s">
        <v>37</v>
      </c>
      <c r="CE14" s="191"/>
      <c r="CF14" s="191"/>
      <c r="CG14" s="191"/>
      <c r="CH14" s="104"/>
      <c r="CI14" s="104"/>
      <c r="CJ14" s="192" t="s">
        <v>25</v>
      </c>
      <c r="CK14" s="192"/>
      <c r="CL14" s="192"/>
      <c r="CM14" s="192"/>
      <c r="CN14" s="129"/>
      <c r="CO14" s="129"/>
      <c r="CP14" s="191" t="s">
        <v>38</v>
      </c>
      <c r="CQ14" s="191"/>
      <c r="CR14" s="191"/>
      <c r="CS14" s="191"/>
      <c r="CT14" s="104"/>
      <c r="CU14" s="104"/>
      <c r="CV14" s="192" t="s">
        <v>26</v>
      </c>
      <c r="CW14" s="192"/>
      <c r="CX14" s="192"/>
      <c r="CY14" s="192"/>
      <c r="CZ14" s="129"/>
      <c r="DA14" s="129"/>
      <c r="DB14" s="191" t="s">
        <v>39</v>
      </c>
      <c r="DC14" s="191"/>
      <c r="DD14" s="191"/>
      <c r="DE14" s="191"/>
      <c r="DF14" s="104"/>
      <c r="DG14" s="104"/>
      <c r="DH14" s="192" t="s">
        <v>27</v>
      </c>
      <c r="DI14" s="192"/>
      <c r="DJ14" s="192"/>
      <c r="DK14" s="192"/>
      <c r="DL14" s="129"/>
      <c r="DM14" s="129"/>
      <c r="DN14" s="191" t="s">
        <v>40</v>
      </c>
      <c r="DO14" s="191"/>
      <c r="DP14" s="191"/>
      <c r="DQ14" s="191"/>
      <c r="DR14" s="104"/>
      <c r="DS14" s="104"/>
      <c r="DT14" s="104"/>
      <c r="DU14" s="105"/>
      <c r="DV14" s="103"/>
      <c r="DW14" s="104"/>
      <c r="DX14" s="104"/>
      <c r="DY14" s="104"/>
      <c r="DZ14" s="191" t="s">
        <v>36</v>
      </c>
      <c r="EA14" s="191"/>
      <c r="EB14" s="191"/>
      <c r="EC14" s="191"/>
      <c r="ED14" s="104"/>
      <c r="EE14" s="104"/>
      <c r="EF14" s="192" t="s">
        <v>24</v>
      </c>
      <c r="EG14" s="192"/>
      <c r="EH14" s="192"/>
      <c r="EI14" s="192"/>
      <c r="EJ14" s="129"/>
      <c r="EK14" s="129"/>
      <c r="EL14" s="191" t="s">
        <v>37</v>
      </c>
      <c r="EM14" s="191"/>
      <c r="EN14" s="191"/>
      <c r="EO14" s="191"/>
      <c r="EP14" s="104"/>
      <c r="EQ14" s="104"/>
      <c r="ER14" s="192" t="s">
        <v>25</v>
      </c>
      <c r="ES14" s="192"/>
      <c r="ET14" s="192"/>
      <c r="EU14" s="192"/>
      <c r="EV14" s="129"/>
      <c r="EW14" s="129"/>
      <c r="EX14" s="191" t="s">
        <v>38</v>
      </c>
      <c r="EY14" s="191"/>
      <c r="EZ14" s="191"/>
      <c r="FA14" s="191"/>
      <c r="FB14" s="104"/>
      <c r="FC14" s="104"/>
      <c r="FD14" s="192" t="s">
        <v>26</v>
      </c>
      <c r="FE14" s="192"/>
      <c r="FF14" s="192"/>
      <c r="FG14" s="192"/>
      <c r="FH14" s="129"/>
      <c r="FI14" s="129"/>
      <c r="FJ14" s="191" t="s">
        <v>39</v>
      </c>
      <c r="FK14" s="191"/>
      <c r="FL14" s="191"/>
      <c r="FM14" s="191"/>
      <c r="FN14" s="104"/>
      <c r="FO14" s="104"/>
      <c r="FP14" s="192" t="s">
        <v>27</v>
      </c>
      <c r="FQ14" s="192"/>
      <c r="FR14" s="192"/>
      <c r="FS14" s="192"/>
      <c r="FT14" s="129"/>
      <c r="FU14" s="129"/>
      <c r="FV14" s="191" t="s">
        <v>40</v>
      </c>
      <c r="FW14" s="191"/>
      <c r="FX14" s="191"/>
      <c r="FY14" s="191"/>
      <c r="FZ14" s="104"/>
      <c r="GA14" s="104"/>
      <c r="GB14" s="104"/>
      <c r="GC14" s="105"/>
      <c r="GD14" s="103"/>
      <c r="GE14" s="104"/>
      <c r="GF14" s="104"/>
      <c r="GG14" s="104"/>
      <c r="GH14" s="191" t="s">
        <v>36</v>
      </c>
      <c r="GI14" s="191"/>
      <c r="GJ14" s="191"/>
      <c r="GK14" s="191"/>
      <c r="GL14" s="104"/>
      <c r="GM14" s="104"/>
      <c r="GN14" s="192" t="s">
        <v>24</v>
      </c>
      <c r="GO14" s="192"/>
      <c r="GP14" s="192"/>
      <c r="GQ14" s="192"/>
      <c r="GR14" s="129"/>
      <c r="GS14" s="129"/>
      <c r="GT14" s="191" t="s">
        <v>37</v>
      </c>
      <c r="GU14" s="191"/>
      <c r="GV14" s="191"/>
      <c r="GW14" s="191"/>
      <c r="GX14" s="104"/>
      <c r="GY14" s="104"/>
      <c r="GZ14" s="192" t="s">
        <v>25</v>
      </c>
      <c r="HA14" s="192"/>
      <c r="HB14" s="192"/>
      <c r="HC14" s="192"/>
      <c r="HD14" s="129"/>
      <c r="HE14" s="129"/>
      <c r="HF14" s="191" t="s">
        <v>38</v>
      </c>
      <c r="HG14" s="191"/>
      <c r="HH14" s="191"/>
      <c r="HI14" s="191"/>
      <c r="HJ14" s="104"/>
      <c r="HK14" s="104"/>
      <c r="HL14" s="192" t="s">
        <v>26</v>
      </c>
      <c r="HM14" s="192"/>
      <c r="HN14" s="192"/>
      <c r="HO14" s="192"/>
      <c r="HP14" s="129"/>
      <c r="HQ14" s="129"/>
      <c r="HR14" s="191" t="s">
        <v>39</v>
      </c>
      <c r="HS14" s="191"/>
      <c r="HT14" s="191"/>
      <c r="HU14" s="191"/>
      <c r="HV14" s="104"/>
      <c r="HW14" s="104"/>
      <c r="HX14" s="192" t="s">
        <v>27</v>
      </c>
      <c r="HY14" s="192"/>
      <c r="HZ14" s="192"/>
      <c r="IA14" s="192"/>
      <c r="IB14" s="129"/>
      <c r="IC14" s="129"/>
      <c r="ID14" s="191" t="s">
        <v>40</v>
      </c>
      <c r="IE14" s="191"/>
      <c r="IF14" s="191"/>
      <c r="IG14" s="191"/>
      <c r="IH14" s="104"/>
      <c r="II14" s="104"/>
      <c r="IJ14" s="104"/>
      <c r="IK14" s="105"/>
      <c r="IL14" s="103"/>
      <c r="IM14" s="104"/>
      <c r="IN14" s="104"/>
      <c r="IO14" s="104"/>
      <c r="IP14" s="191" t="s">
        <v>36</v>
      </c>
      <c r="IQ14" s="191"/>
      <c r="IR14" s="191"/>
      <c r="IS14" s="191"/>
      <c r="IT14" s="104"/>
      <c r="IU14" s="104"/>
      <c r="IV14" s="192" t="s">
        <v>24</v>
      </c>
      <c r="IW14" s="192"/>
      <c r="IX14" s="192"/>
      <c r="IY14" s="192"/>
      <c r="IZ14" s="129"/>
      <c r="JA14" s="129"/>
      <c r="JB14" s="191" t="s">
        <v>37</v>
      </c>
      <c r="JC14" s="191"/>
      <c r="JD14" s="191"/>
      <c r="JE14" s="191"/>
      <c r="JF14" s="104"/>
      <c r="JG14" s="104"/>
      <c r="JH14" s="192" t="s">
        <v>25</v>
      </c>
      <c r="JI14" s="192"/>
      <c r="JJ14" s="192"/>
      <c r="JK14" s="192"/>
      <c r="JL14" s="129"/>
      <c r="JM14" s="129"/>
      <c r="JN14" s="191" t="s">
        <v>38</v>
      </c>
      <c r="JO14" s="191"/>
      <c r="JP14" s="191"/>
      <c r="JQ14" s="191"/>
      <c r="JR14" s="104"/>
      <c r="JS14" s="104"/>
      <c r="JT14" s="192" t="s">
        <v>26</v>
      </c>
      <c r="JU14" s="192"/>
      <c r="JV14" s="192"/>
      <c r="JW14" s="192"/>
      <c r="JX14" s="129"/>
      <c r="JY14" s="129"/>
      <c r="JZ14" s="191" t="s">
        <v>39</v>
      </c>
      <c r="KA14" s="191"/>
      <c r="KB14" s="191"/>
      <c r="KC14" s="191"/>
      <c r="KD14" s="104"/>
      <c r="KE14" s="104"/>
      <c r="KF14" s="192" t="s">
        <v>27</v>
      </c>
      <c r="KG14" s="192"/>
      <c r="KH14" s="192"/>
      <c r="KI14" s="192"/>
      <c r="KJ14" s="129"/>
      <c r="KK14" s="129"/>
      <c r="KL14" s="191" t="s">
        <v>40</v>
      </c>
      <c r="KM14" s="191"/>
      <c r="KN14" s="191"/>
      <c r="KO14" s="191"/>
      <c r="KP14" s="104"/>
      <c r="KQ14" s="104"/>
      <c r="KR14" s="104"/>
      <c r="KS14" s="105"/>
      <c r="KT14" s="103"/>
      <c r="KU14" s="104"/>
      <c r="KV14" s="104"/>
      <c r="KW14" s="104"/>
      <c r="KX14" s="191" t="s">
        <v>36</v>
      </c>
      <c r="KY14" s="191"/>
      <c r="KZ14" s="191"/>
      <c r="LA14" s="191"/>
      <c r="LB14" s="104"/>
      <c r="LC14" s="104"/>
      <c r="LD14" s="192" t="s">
        <v>24</v>
      </c>
      <c r="LE14" s="192"/>
      <c r="LF14" s="192"/>
      <c r="LG14" s="192"/>
      <c r="LH14" s="129"/>
      <c r="LI14" s="129"/>
      <c r="LJ14" s="191" t="s">
        <v>37</v>
      </c>
      <c r="LK14" s="191"/>
      <c r="LL14" s="191"/>
      <c r="LM14" s="191"/>
      <c r="LN14" s="104"/>
      <c r="LO14" s="104"/>
      <c r="LP14" s="192" t="s">
        <v>25</v>
      </c>
      <c r="LQ14" s="192"/>
      <c r="LR14" s="192"/>
      <c r="LS14" s="192"/>
      <c r="LT14" s="129"/>
      <c r="LU14" s="129"/>
      <c r="LV14" s="191" t="s">
        <v>38</v>
      </c>
      <c r="LW14" s="191"/>
      <c r="LX14" s="191"/>
      <c r="LY14" s="191"/>
      <c r="LZ14" s="104"/>
      <c r="MA14" s="104"/>
      <c r="MB14" s="192" t="s">
        <v>26</v>
      </c>
      <c r="MC14" s="192"/>
      <c r="MD14" s="192"/>
      <c r="ME14" s="192"/>
      <c r="MF14" s="129"/>
      <c r="MG14" s="129"/>
      <c r="MH14" s="191" t="s">
        <v>39</v>
      </c>
      <c r="MI14" s="191"/>
      <c r="MJ14" s="191"/>
      <c r="MK14" s="191"/>
      <c r="ML14" s="104"/>
      <c r="MM14" s="104"/>
      <c r="MN14" s="192" t="s">
        <v>27</v>
      </c>
      <c r="MO14" s="192"/>
      <c r="MP14" s="192"/>
      <c r="MQ14" s="192"/>
      <c r="MR14" s="129"/>
      <c r="MS14" s="129"/>
      <c r="MT14" s="191" t="s">
        <v>40</v>
      </c>
      <c r="MU14" s="191"/>
      <c r="MV14" s="191"/>
      <c r="MW14" s="191"/>
      <c r="MX14" s="104"/>
      <c r="MY14" s="104"/>
      <c r="MZ14" s="104"/>
      <c r="NA14" s="105"/>
      <c r="NB14" s="103"/>
      <c r="NC14" s="104"/>
      <c r="ND14" s="104"/>
      <c r="NE14" s="104"/>
      <c r="NF14" s="191" t="s">
        <v>36</v>
      </c>
      <c r="NG14" s="191"/>
      <c r="NH14" s="191"/>
      <c r="NI14" s="191"/>
      <c r="NJ14" s="104"/>
      <c r="NK14" s="104"/>
      <c r="NL14" s="192" t="s">
        <v>24</v>
      </c>
      <c r="NM14" s="192"/>
      <c r="NN14" s="192"/>
      <c r="NO14" s="192"/>
      <c r="NP14" s="129"/>
      <c r="NQ14" s="129"/>
      <c r="NR14" s="191" t="s">
        <v>37</v>
      </c>
      <c r="NS14" s="191"/>
      <c r="NT14" s="191"/>
      <c r="NU14" s="191"/>
      <c r="NV14" s="104"/>
      <c r="NW14" s="104"/>
      <c r="NX14" s="192" t="s">
        <v>25</v>
      </c>
      <c r="NY14" s="192"/>
      <c r="NZ14" s="192"/>
      <c r="OA14" s="192"/>
      <c r="OB14" s="129"/>
      <c r="OC14" s="129"/>
      <c r="OD14" s="191" t="s">
        <v>38</v>
      </c>
      <c r="OE14" s="191"/>
      <c r="OF14" s="191"/>
      <c r="OG14" s="191"/>
      <c r="OH14" s="104"/>
      <c r="OI14" s="104"/>
      <c r="OJ14" s="192" t="s">
        <v>26</v>
      </c>
      <c r="OK14" s="192"/>
      <c r="OL14" s="192"/>
      <c r="OM14" s="192"/>
      <c r="ON14" s="129"/>
      <c r="OO14" s="129"/>
      <c r="OP14" s="191" t="s">
        <v>39</v>
      </c>
      <c r="OQ14" s="191"/>
      <c r="OR14" s="191"/>
      <c r="OS14" s="191"/>
      <c r="OT14" s="104"/>
      <c r="OU14" s="104"/>
      <c r="OV14" s="192" t="s">
        <v>27</v>
      </c>
      <c r="OW14" s="192"/>
      <c r="OX14" s="192"/>
      <c r="OY14" s="192"/>
      <c r="OZ14" s="129"/>
      <c r="PA14" s="129"/>
      <c r="PB14" s="191" t="s">
        <v>40</v>
      </c>
      <c r="PC14" s="191"/>
      <c r="PD14" s="191"/>
      <c r="PE14" s="191"/>
      <c r="PF14" s="104"/>
      <c r="PG14" s="104"/>
      <c r="PH14" s="104"/>
      <c r="PI14" s="105"/>
      <c r="PJ14" s="103"/>
      <c r="PK14" s="104"/>
      <c r="PL14" s="104"/>
      <c r="PM14" s="104"/>
      <c r="PN14" s="191" t="s">
        <v>36</v>
      </c>
      <c r="PO14" s="191"/>
      <c r="PP14" s="191"/>
      <c r="PQ14" s="191"/>
      <c r="PR14" s="104"/>
      <c r="PS14" s="104"/>
      <c r="PT14" s="192" t="s">
        <v>24</v>
      </c>
      <c r="PU14" s="192"/>
      <c r="PV14" s="192"/>
      <c r="PW14" s="192"/>
      <c r="PX14" s="129"/>
      <c r="PY14" s="129"/>
      <c r="PZ14" s="191" t="s">
        <v>37</v>
      </c>
      <c r="QA14" s="191"/>
      <c r="QB14" s="191"/>
      <c r="QC14" s="191"/>
      <c r="QD14" s="104"/>
      <c r="QE14" s="104"/>
      <c r="QF14" s="192" t="s">
        <v>25</v>
      </c>
      <c r="QG14" s="192"/>
      <c r="QH14" s="192"/>
      <c r="QI14" s="192"/>
      <c r="QJ14" s="129"/>
      <c r="QK14" s="129"/>
      <c r="QL14" s="191" t="s">
        <v>38</v>
      </c>
      <c r="QM14" s="191"/>
      <c r="QN14" s="191"/>
      <c r="QO14" s="191"/>
      <c r="QP14" s="104"/>
      <c r="QQ14" s="104"/>
      <c r="QR14" s="192" t="s">
        <v>26</v>
      </c>
      <c r="QS14" s="192"/>
      <c r="QT14" s="192"/>
      <c r="QU14" s="192"/>
      <c r="QV14" s="129"/>
      <c r="QW14" s="129"/>
      <c r="QX14" s="191" t="s">
        <v>39</v>
      </c>
      <c r="QY14" s="191"/>
      <c r="QZ14" s="191"/>
      <c r="RA14" s="191"/>
      <c r="RB14" s="104"/>
      <c r="RC14" s="104"/>
      <c r="RD14" s="192" t="s">
        <v>27</v>
      </c>
      <c r="RE14" s="192"/>
      <c r="RF14" s="192"/>
      <c r="RG14" s="192"/>
      <c r="RH14" s="129"/>
      <c r="RI14" s="129"/>
      <c r="RJ14" s="191" t="s">
        <v>40</v>
      </c>
      <c r="RK14" s="191"/>
      <c r="RL14" s="191"/>
      <c r="RM14" s="191"/>
      <c r="RN14" s="104"/>
      <c r="RO14" s="104"/>
      <c r="RP14" s="104"/>
      <c r="RQ14" s="105"/>
      <c r="RR14" s="90"/>
    </row>
    <row r="15" spans="1:486" ht="20.100000000000001" customHeight="1" x14ac:dyDescent="0.25">
      <c r="A15" s="100" t="s">
        <v>20</v>
      </c>
      <c r="B15" s="63" t="str">
        <f>IF(LEN(C15)=0,"",C15)</f>
        <v xml:space="preserve">Absences - imprévus </v>
      </c>
      <c r="C15" s="19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90"/>
    </row>
    <row r="16" spans="1:486" ht="20.100000000000001" customHeight="1" x14ac:dyDescent="0.25">
      <c r="A16" s="100" t="s">
        <v>21</v>
      </c>
      <c r="B16" s="63" t="str">
        <f>IF(LEN(C17)=0,"",C17)</f>
        <v>Analyse - Planification initiale</v>
      </c>
      <c r="C16" s="19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90"/>
    </row>
    <row r="17" spans="1:486" ht="20.100000000000001" customHeight="1" x14ac:dyDescent="0.25">
      <c r="A17" s="100" t="s">
        <v>20</v>
      </c>
      <c r="B17" s="63" t="str">
        <f>IF(LEN(C19)=0,"",C19)</f>
        <v>Réalisation - Interfaces</v>
      </c>
      <c r="C17" s="195" t="s">
        <v>32</v>
      </c>
      <c r="D17" s="146" t="str">
        <f t="shared" si="0"/>
        <v>0h45min</v>
      </c>
      <c r="E17" s="31">
        <v>9</v>
      </c>
      <c r="F17" s="165"/>
      <c r="G17" s="166"/>
      <c r="H17" s="166"/>
      <c r="I17" s="166"/>
      <c r="J17" s="167"/>
      <c r="K17" s="168"/>
      <c r="L17" s="167"/>
      <c r="M17" s="167"/>
      <c r="N17" s="167"/>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90"/>
    </row>
    <row r="18" spans="1:486" ht="20.100000000000001" customHeight="1" x14ac:dyDescent="0.3">
      <c r="A18" s="100" t="s">
        <v>21</v>
      </c>
      <c r="B18" s="63" t="str">
        <f>IF(LEN(C21)=0,"",C21)</f>
        <v>Doc - Journal de travail</v>
      </c>
      <c r="C18" s="196"/>
      <c r="D18" s="148" t="str">
        <f t="shared" si="0"/>
        <v>1h55min</v>
      </c>
      <c r="E18" s="35">
        <v>23</v>
      </c>
      <c r="F18" s="36"/>
      <c r="G18" s="172"/>
      <c r="H18" s="172"/>
      <c r="I18" s="172"/>
      <c r="J18" s="173"/>
      <c r="K18" s="174"/>
      <c r="L18" s="173"/>
      <c r="M18" s="173"/>
      <c r="N18" s="173"/>
      <c r="O18" s="173"/>
      <c r="P18" s="173"/>
      <c r="Q18" s="175"/>
      <c r="R18" s="173"/>
      <c r="S18" s="173"/>
      <c r="T18" s="173"/>
      <c r="U18" s="173"/>
      <c r="V18" s="173"/>
      <c r="W18" s="176"/>
      <c r="X18" s="173"/>
      <c r="Y18" s="173"/>
      <c r="Z18" s="173"/>
      <c r="AA18" s="173"/>
      <c r="AB18" s="173"/>
      <c r="AC18" s="175"/>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90"/>
    </row>
    <row r="19" spans="1:486" ht="20.100000000000001" customHeight="1" x14ac:dyDescent="0.25">
      <c r="A19" s="100" t="s">
        <v>20</v>
      </c>
      <c r="B19" s="63" t="str">
        <f>IF(LEN(C23)=0,"",C23)</f>
        <v>Doc - Rapport</v>
      </c>
      <c r="C19" s="195" t="s">
        <v>33</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90"/>
    </row>
    <row r="20" spans="1:486" ht="20.100000000000001" customHeight="1" x14ac:dyDescent="0.25">
      <c r="A20" s="100" t="s">
        <v>21</v>
      </c>
      <c r="B20" s="63" t="str">
        <f>IF(LEN(C25)=0,"",C25)</f>
        <v/>
      </c>
      <c r="C20" s="19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90"/>
    </row>
    <row r="21" spans="1:486" ht="20.100000000000001" customHeight="1" x14ac:dyDescent="0.25">
      <c r="A21" s="100" t="s">
        <v>20</v>
      </c>
      <c r="B21" s="63" t="str">
        <f>IF(LEN(C27)=0,"",C27)</f>
        <v/>
      </c>
      <c r="C21" s="195" t="s">
        <v>17</v>
      </c>
      <c r="D21" s="146" t="str">
        <f t="shared" si="0"/>
        <v>0h35min</v>
      </c>
      <c r="E21" s="31">
        <v>7</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65"/>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165"/>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165"/>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165"/>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165"/>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65"/>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65"/>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90"/>
    </row>
    <row r="22" spans="1:486" ht="20.100000000000001" customHeight="1" x14ac:dyDescent="0.25">
      <c r="A22" s="100" t="s">
        <v>21</v>
      </c>
      <c r="B22" s="63" t="str">
        <f>IF(LEN(C29)=0,"",C29)</f>
        <v/>
      </c>
      <c r="C22" s="197"/>
      <c r="D22" s="147" t="str">
        <f t="shared" si="0"/>
        <v>0h30min</v>
      </c>
      <c r="E22" s="35">
        <v>6</v>
      </c>
      <c r="F22" s="177"/>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173"/>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177"/>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75"/>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75"/>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73"/>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90"/>
    </row>
    <row r="23" spans="1:486" ht="20.100000000000001" customHeight="1" x14ac:dyDescent="0.25">
      <c r="A23" s="100" t="s">
        <v>20</v>
      </c>
      <c r="B23" s="63" t="str">
        <f>IF(LEN(C31)=0,"",C31)</f>
        <v>aider les autres</v>
      </c>
      <c r="C23" s="195" t="s">
        <v>16</v>
      </c>
      <c r="D23" s="146" t="str">
        <f t="shared" si="0"/>
        <v>2h30min</v>
      </c>
      <c r="E23" s="39">
        <v>30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179"/>
      <c r="BP23" s="179"/>
      <c r="BQ23" s="179"/>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179"/>
      <c r="DX23" s="179"/>
      <c r="DY23" s="179"/>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179"/>
      <c r="GF23" s="179"/>
      <c r="GG23" s="179"/>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179"/>
      <c r="IN23" s="179"/>
      <c r="IO23" s="179"/>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179"/>
      <c r="KV23" s="179"/>
      <c r="KW23" s="179"/>
      <c r="KX23" s="180"/>
      <c r="KY23" s="181"/>
      <c r="KZ23" s="180"/>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179"/>
      <c r="ND23" s="179"/>
      <c r="NE23" s="179"/>
      <c r="NF23" s="180"/>
      <c r="NG23" s="181"/>
      <c r="NH23" s="180"/>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179"/>
      <c r="PL23" s="179"/>
      <c r="PM23" s="179"/>
      <c r="PN23" s="180"/>
      <c r="PO23" s="181"/>
      <c r="PP23" s="180"/>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90"/>
    </row>
    <row r="24" spans="1:486" ht="20.100000000000001" customHeight="1" x14ac:dyDescent="0.25">
      <c r="A24" s="100" t="s">
        <v>21</v>
      </c>
      <c r="B24" s="63" t="str">
        <f>IF(LEN(C33)=0,"",C33)</f>
        <v>dev - programmation</v>
      </c>
      <c r="C24" s="197"/>
      <c r="D24" s="147" t="str">
        <f t="shared" si="0"/>
        <v>0h25min</v>
      </c>
      <c r="E24" s="27">
        <v>5</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178"/>
      <c r="AE24" s="178"/>
      <c r="AF24" s="178"/>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178"/>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178"/>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90"/>
    </row>
    <row r="25" spans="1:486" ht="20.100000000000001" customHeight="1" x14ac:dyDescent="0.25">
      <c r="A25" s="100" t="s">
        <v>20</v>
      </c>
      <c r="B25" s="63" t="str">
        <f>IF(LEN(C35)=0,"",C35)</f>
        <v/>
      </c>
      <c r="C25" s="195"/>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90"/>
    </row>
    <row r="26" spans="1:486" ht="20.100000000000001" customHeight="1" x14ac:dyDescent="0.3">
      <c r="A26" s="100" t="s">
        <v>21</v>
      </c>
      <c r="B26" s="63" t="str">
        <f>IF(LEN(C37)=0,"",C37)</f>
        <v/>
      </c>
      <c r="C26" s="196"/>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90"/>
    </row>
    <row r="27" spans="1:486" ht="20.100000000000001" customHeight="1" x14ac:dyDescent="0.25">
      <c r="A27" s="100" t="s">
        <v>20</v>
      </c>
      <c r="B27" s="63" t="str">
        <f>IF(LEN(C39)=0,"",C39)</f>
        <v/>
      </c>
      <c r="C27" s="195"/>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90"/>
    </row>
    <row r="28" spans="1:486" ht="20.100000000000001" customHeight="1" x14ac:dyDescent="0.3">
      <c r="A28" s="100" t="s">
        <v>21</v>
      </c>
      <c r="B28" s="63" t="str">
        <f>IF(LEN(C41)=0,"",C41)</f>
        <v/>
      </c>
      <c r="C28" s="196"/>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90"/>
    </row>
    <row r="29" spans="1:486" ht="20.100000000000001" customHeight="1" x14ac:dyDescent="0.25">
      <c r="A29" s="100" t="s">
        <v>20</v>
      </c>
      <c r="B29" s="63" t="str">
        <f>IF(LEN(C43)=0,"",C43)</f>
        <v/>
      </c>
      <c r="C29" s="195"/>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90"/>
    </row>
    <row r="30" spans="1:486" ht="20.100000000000001" customHeight="1" x14ac:dyDescent="0.3">
      <c r="A30" s="100" t="s">
        <v>21</v>
      </c>
      <c r="B30" s="63" t="str">
        <f>IF(LEN(C45)=0,"",C45)</f>
        <v/>
      </c>
      <c r="C30" s="196"/>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90"/>
    </row>
    <row r="31" spans="1:486" ht="20.100000000000001" customHeight="1" x14ac:dyDescent="0.25">
      <c r="A31" s="100" t="s">
        <v>20</v>
      </c>
      <c r="B31" s="63" t="str">
        <f>IF(LEN(C47)=0,"",C47)</f>
        <v/>
      </c>
      <c r="C31" s="195" t="s">
        <v>50</v>
      </c>
      <c r="D31" s="146"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90"/>
    </row>
    <row r="32" spans="1:486" ht="20.100000000000001" customHeight="1" x14ac:dyDescent="0.3">
      <c r="A32" s="100" t="s">
        <v>21</v>
      </c>
      <c r="B32" s="63" t="str">
        <f>IF(LEN(C49)=0,"",C49)</f>
        <v/>
      </c>
      <c r="C32" s="196"/>
      <c r="D32" s="148" t="str">
        <f t="shared" si="0"/>
        <v>0h30min</v>
      </c>
      <c r="E32" s="27">
        <v>6</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82"/>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231"/>
      <c r="OH32" s="231"/>
      <c r="OI32" s="231"/>
      <c r="OJ32" s="178"/>
      <c r="OK32" s="182"/>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90"/>
    </row>
    <row r="33" spans="1:486" ht="20.100000000000001" customHeight="1" x14ac:dyDescent="0.25">
      <c r="A33" s="100" t="s">
        <v>20</v>
      </c>
      <c r="B33" s="63" t="str">
        <f>IF(LEN(C51)=0,"",C51)</f>
        <v/>
      </c>
      <c r="C33" s="195" t="s">
        <v>52</v>
      </c>
      <c r="D33" s="146" t="str">
        <f t="shared" si="0"/>
        <v>17h55min</v>
      </c>
      <c r="E33" s="31">
        <v>215</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167"/>
      <c r="BS33" s="168"/>
      <c r="BT33" s="167"/>
      <c r="BU33" s="167"/>
      <c r="BV33" s="167"/>
      <c r="BW33" s="167"/>
      <c r="BX33" s="167"/>
      <c r="BY33" s="169"/>
      <c r="BZ33" s="167"/>
      <c r="CA33" s="167"/>
      <c r="CB33" s="167"/>
      <c r="CC33" s="167"/>
      <c r="CD33" s="167"/>
      <c r="CE33" s="170"/>
      <c r="CF33" s="167"/>
      <c r="CG33" s="167"/>
      <c r="CH33" s="167"/>
      <c r="CI33" s="167"/>
      <c r="CJ33" s="167"/>
      <c r="CK33" s="169"/>
      <c r="CL33" s="167"/>
      <c r="CM33" s="167"/>
      <c r="CN33" s="167"/>
      <c r="CO33" s="167"/>
      <c r="CP33" s="167"/>
      <c r="CQ33" s="170"/>
      <c r="CR33" s="166"/>
      <c r="CS33" s="166"/>
      <c r="CT33" s="166"/>
      <c r="CU33" s="166"/>
      <c r="CV33" s="167"/>
      <c r="CW33" s="169"/>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167"/>
      <c r="EA33" s="168"/>
      <c r="EB33" s="167"/>
      <c r="EC33" s="167"/>
      <c r="ED33" s="167"/>
      <c r="EE33" s="167"/>
      <c r="EF33" s="167"/>
      <c r="EG33" s="169"/>
      <c r="EH33" s="167"/>
      <c r="EI33" s="167"/>
      <c r="EJ33" s="167"/>
      <c r="EK33" s="167"/>
      <c r="EL33" s="167"/>
      <c r="EM33" s="170"/>
      <c r="EN33" s="167"/>
      <c r="EO33" s="167"/>
      <c r="EP33" s="167"/>
      <c r="EQ33" s="167"/>
      <c r="ER33" s="167"/>
      <c r="ES33" s="169"/>
      <c r="ET33" s="167"/>
      <c r="EU33" s="167"/>
      <c r="EV33" s="167"/>
      <c r="EW33" s="167"/>
      <c r="EX33" s="167"/>
      <c r="EY33" s="170"/>
      <c r="EZ33" s="166"/>
      <c r="FA33" s="166"/>
      <c r="FB33" s="166"/>
      <c r="FC33" s="166"/>
      <c r="FD33" s="167"/>
      <c r="FE33" s="169"/>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167"/>
      <c r="GI33" s="168"/>
      <c r="GJ33" s="167"/>
      <c r="GK33" s="167"/>
      <c r="GL33" s="167"/>
      <c r="GM33" s="167"/>
      <c r="GN33" s="167"/>
      <c r="GO33" s="169"/>
      <c r="GP33" s="167"/>
      <c r="GQ33" s="167"/>
      <c r="GR33" s="167"/>
      <c r="GS33" s="167"/>
      <c r="GT33" s="167"/>
      <c r="GU33" s="170"/>
      <c r="GV33" s="167"/>
      <c r="GW33" s="167"/>
      <c r="GX33" s="167"/>
      <c r="GY33" s="167"/>
      <c r="GZ33" s="167"/>
      <c r="HA33" s="169"/>
      <c r="HB33" s="167"/>
      <c r="HC33" s="167"/>
      <c r="HD33" s="167"/>
      <c r="HE33" s="167"/>
      <c r="HF33" s="167"/>
      <c r="HG33" s="170"/>
      <c r="HH33" s="166"/>
      <c r="HI33" s="166"/>
      <c r="HJ33" s="166"/>
      <c r="HK33" s="166"/>
      <c r="HL33" s="167"/>
      <c r="HM33" s="169"/>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167"/>
      <c r="IQ33" s="168"/>
      <c r="IR33" s="167"/>
      <c r="IS33" s="167"/>
      <c r="IT33" s="167"/>
      <c r="IU33" s="167"/>
      <c r="IV33" s="167"/>
      <c r="IW33" s="169"/>
      <c r="IX33" s="167"/>
      <c r="IY33" s="167"/>
      <c r="IZ33" s="167"/>
      <c r="JA33" s="167"/>
      <c r="JB33" s="167"/>
      <c r="JC33" s="170"/>
      <c r="JD33" s="167"/>
      <c r="JE33" s="167"/>
      <c r="JF33" s="167"/>
      <c r="JG33" s="167"/>
      <c r="JH33" s="167"/>
      <c r="JI33" s="169"/>
      <c r="JJ33" s="167"/>
      <c r="JK33" s="167"/>
      <c r="JL33" s="167"/>
      <c r="JM33" s="167"/>
      <c r="JN33" s="167"/>
      <c r="JO33" s="170"/>
      <c r="JP33" s="166"/>
      <c r="JQ33" s="166"/>
      <c r="JR33" s="166"/>
      <c r="JS33" s="166"/>
      <c r="JT33" s="167"/>
      <c r="JU33" s="169"/>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167"/>
      <c r="LB33" s="167"/>
      <c r="LC33" s="167"/>
      <c r="LD33" s="167"/>
      <c r="LE33" s="169"/>
      <c r="LF33" s="167"/>
      <c r="LG33" s="167"/>
      <c r="LH33" s="167"/>
      <c r="LI33" s="167"/>
      <c r="LJ33" s="167"/>
      <c r="LK33" s="170"/>
      <c r="LL33" s="167"/>
      <c r="LM33" s="167"/>
      <c r="LN33" s="167"/>
      <c r="LO33" s="167"/>
      <c r="LP33" s="167"/>
      <c r="LQ33" s="169"/>
      <c r="LR33" s="167"/>
      <c r="LS33" s="167"/>
      <c r="LT33" s="167"/>
      <c r="LU33" s="167"/>
      <c r="LV33" s="167"/>
      <c r="LW33" s="170"/>
      <c r="LX33" s="166"/>
      <c r="LY33" s="166"/>
      <c r="LZ33" s="166"/>
      <c r="MA33" s="166"/>
      <c r="MB33" s="167"/>
      <c r="MC33" s="169"/>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167"/>
      <c r="NJ33" s="167"/>
      <c r="NK33" s="167"/>
      <c r="NL33" s="167"/>
      <c r="NM33" s="169"/>
      <c r="NN33" s="167"/>
      <c r="NO33" s="167"/>
      <c r="NP33" s="167"/>
      <c r="NQ33" s="167"/>
      <c r="NR33" s="167"/>
      <c r="NS33" s="170"/>
      <c r="NT33" s="167"/>
      <c r="NU33" s="167"/>
      <c r="NV33" s="167"/>
      <c r="NW33" s="167"/>
      <c r="NX33" s="167"/>
      <c r="NY33" s="169"/>
      <c r="NZ33" s="167"/>
      <c r="OA33" s="167"/>
      <c r="OB33" s="167"/>
      <c r="OC33" s="167"/>
      <c r="OD33" s="167"/>
      <c r="OE33" s="170"/>
      <c r="OF33" s="166"/>
      <c r="OG33" s="166"/>
      <c r="OH33" s="166"/>
      <c r="OI33" s="166"/>
      <c r="OJ33" s="167"/>
      <c r="OK33" s="169"/>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167"/>
      <c r="PR33" s="167"/>
      <c r="PS33" s="167"/>
      <c r="PT33" s="167"/>
      <c r="PU33" s="169"/>
      <c r="PV33" s="167"/>
      <c r="PW33" s="167"/>
      <c r="PX33" s="167"/>
      <c r="PY33" s="167"/>
      <c r="PZ33" s="167"/>
      <c r="QA33" s="170"/>
      <c r="QB33" s="167"/>
      <c r="QC33" s="167"/>
      <c r="QD33" s="167"/>
      <c r="QE33" s="167"/>
      <c r="QF33" s="167"/>
      <c r="QG33" s="169"/>
      <c r="QH33" s="167"/>
      <c r="QI33" s="167"/>
      <c r="QJ33" s="167"/>
      <c r="QK33" s="167"/>
      <c r="QL33" s="167"/>
      <c r="QM33" s="170"/>
      <c r="QN33" s="166"/>
      <c r="QO33" s="166"/>
      <c r="QP33" s="166"/>
      <c r="QQ33" s="166"/>
      <c r="QR33" s="167"/>
      <c r="QS33" s="169"/>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90"/>
    </row>
    <row r="34" spans="1:486" ht="20.100000000000001" customHeight="1" x14ac:dyDescent="0.3">
      <c r="A34" s="100" t="s">
        <v>21</v>
      </c>
      <c r="B34" s="63" t="str">
        <f>IF(LEN(C53)=0,"",C53)</f>
        <v/>
      </c>
      <c r="C34" s="196"/>
      <c r="D34" s="148" t="str">
        <f t="shared" si="0"/>
        <v>17h55min</v>
      </c>
      <c r="E34" s="35">
        <v>215</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173"/>
      <c r="AH34" s="173"/>
      <c r="AI34" s="176"/>
      <c r="AJ34" s="172"/>
      <c r="AK34" s="172"/>
      <c r="AL34" s="172"/>
      <c r="AM34" s="172"/>
      <c r="AN34" s="173"/>
      <c r="AO34" s="175"/>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177"/>
      <c r="BO34" s="172"/>
      <c r="BP34" s="172"/>
      <c r="BQ34" s="172"/>
      <c r="BR34" s="173"/>
      <c r="BS34" s="174"/>
      <c r="BT34" s="173"/>
      <c r="BU34" s="173"/>
      <c r="BV34" s="173"/>
      <c r="BW34" s="173"/>
      <c r="BX34" s="173"/>
      <c r="BY34" s="175"/>
      <c r="BZ34" s="173"/>
      <c r="CA34" s="173"/>
      <c r="CB34" s="173"/>
      <c r="CC34" s="173"/>
      <c r="CD34" s="173"/>
      <c r="CE34" s="176"/>
      <c r="CF34" s="173"/>
      <c r="CG34" s="173"/>
      <c r="CH34" s="173"/>
      <c r="CI34" s="173"/>
      <c r="CJ34" s="173"/>
      <c r="CK34" s="175"/>
      <c r="CL34" s="173"/>
      <c r="CM34" s="173"/>
      <c r="CN34" s="173"/>
      <c r="CO34" s="173"/>
      <c r="CP34" s="173"/>
      <c r="CQ34" s="176"/>
      <c r="CR34" s="172"/>
      <c r="CS34" s="172"/>
      <c r="CT34" s="172"/>
      <c r="CU34" s="172"/>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172"/>
      <c r="DX34" s="172"/>
      <c r="DY34" s="172"/>
      <c r="DZ34" s="173"/>
      <c r="EA34" s="174"/>
      <c r="EB34" s="173"/>
      <c r="EC34" s="173"/>
      <c r="ED34" s="173"/>
      <c r="EE34" s="173"/>
      <c r="EF34" s="173"/>
      <c r="EG34" s="175"/>
      <c r="EH34" s="173"/>
      <c r="EI34" s="173"/>
      <c r="EJ34" s="173"/>
      <c r="EK34" s="173"/>
      <c r="EL34" s="173"/>
      <c r="EM34" s="176"/>
      <c r="EN34" s="173"/>
      <c r="EO34" s="173"/>
      <c r="EP34" s="173"/>
      <c r="EQ34" s="173"/>
      <c r="ER34" s="173"/>
      <c r="ES34" s="175"/>
      <c r="ET34" s="173"/>
      <c r="EU34" s="173"/>
      <c r="EV34" s="173"/>
      <c r="EW34" s="173"/>
      <c r="EX34" s="173"/>
      <c r="EY34" s="176"/>
      <c r="EZ34" s="172"/>
      <c r="FA34" s="172"/>
      <c r="FB34" s="172"/>
      <c r="FC34" s="172"/>
      <c r="FD34" s="173"/>
      <c r="FE34" s="175"/>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177"/>
      <c r="GE34" s="172"/>
      <c r="GF34" s="172"/>
      <c r="GG34" s="172"/>
      <c r="GH34" s="173"/>
      <c r="GI34" s="174"/>
      <c r="GJ34" s="173"/>
      <c r="GK34" s="173"/>
      <c r="GL34" s="173"/>
      <c r="GM34" s="173"/>
      <c r="GN34" s="173"/>
      <c r="GO34" s="175"/>
      <c r="GP34" s="173"/>
      <c r="GQ34" s="173"/>
      <c r="GR34" s="173"/>
      <c r="GS34" s="173"/>
      <c r="GT34" s="173"/>
      <c r="GU34" s="176"/>
      <c r="GV34" s="173"/>
      <c r="GW34" s="173"/>
      <c r="GX34" s="173"/>
      <c r="GY34" s="173"/>
      <c r="GZ34" s="173"/>
      <c r="HA34" s="175"/>
      <c r="HB34" s="173"/>
      <c r="HC34" s="173"/>
      <c r="HD34" s="173"/>
      <c r="HE34" s="173"/>
      <c r="HF34" s="173"/>
      <c r="HG34" s="176"/>
      <c r="HH34" s="172"/>
      <c r="HI34" s="172"/>
      <c r="HJ34" s="172"/>
      <c r="HK34" s="172"/>
      <c r="HL34" s="173"/>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177"/>
      <c r="IM34" s="172"/>
      <c r="IN34" s="172"/>
      <c r="IO34" s="172"/>
      <c r="IP34" s="173"/>
      <c r="IQ34" s="174"/>
      <c r="IR34" s="173"/>
      <c r="IS34" s="173"/>
      <c r="IT34" s="173"/>
      <c r="IU34" s="173"/>
      <c r="IV34" s="173"/>
      <c r="IW34" s="175"/>
      <c r="IX34" s="173"/>
      <c r="IY34" s="173"/>
      <c r="IZ34" s="173"/>
      <c r="JA34" s="173"/>
      <c r="JB34" s="173"/>
      <c r="JC34" s="176"/>
      <c r="JD34" s="173"/>
      <c r="JE34" s="173"/>
      <c r="JF34" s="173"/>
      <c r="JG34" s="173"/>
      <c r="JH34" s="173"/>
      <c r="JI34" s="175"/>
      <c r="JJ34" s="173"/>
      <c r="JK34" s="173"/>
      <c r="JL34" s="173"/>
      <c r="JM34" s="173"/>
      <c r="JN34" s="173"/>
      <c r="JO34" s="176"/>
      <c r="JP34" s="172"/>
      <c r="JQ34" s="172"/>
      <c r="JR34" s="172"/>
      <c r="JS34" s="172"/>
      <c r="JT34" s="173"/>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177"/>
      <c r="KU34" s="172"/>
      <c r="KV34" s="172"/>
      <c r="KW34" s="172"/>
      <c r="KX34" s="173"/>
      <c r="KY34" s="174"/>
      <c r="KZ34" s="173"/>
      <c r="LA34" s="173"/>
      <c r="LB34" s="173"/>
      <c r="LC34" s="173"/>
      <c r="LD34" s="173"/>
      <c r="LE34" s="175"/>
      <c r="LF34" s="173"/>
      <c r="LG34" s="173"/>
      <c r="LH34" s="173"/>
      <c r="LI34" s="173"/>
      <c r="LJ34" s="173"/>
      <c r="LK34" s="176"/>
      <c r="LL34" s="173"/>
      <c r="LM34" s="173"/>
      <c r="LN34" s="173"/>
      <c r="LO34" s="173"/>
      <c r="LP34" s="173"/>
      <c r="LQ34" s="175"/>
      <c r="LR34" s="173"/>
      <c r="LS34" s="173"/>
      <c r="LT34" s="173"/>
      <c r="LU34" s="173"/>
      <c r="LV34" s="173"/>
      <c r="LW34" s="176"/>
      <c r="LX34" s="172"/>
      <c r="LY34" s="172"/>
      <c r="LZ34" s="172"/>
      <c r="MA34" s="172"/>
      <c r="MB34" s="173"/>
      <c r="MC34" s="175"/>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177"/>
      <c r="NC34" s="172"/>
      <c r="ND34" s="172"/>
      <c r="NE34" s="172"/>
      <c r="NF34" s="173"/>
      <c r="NG34" s="174"/>
      <c r="NH34" s="173"/>
      <c r="NI34" s="173"/>
      <c r="NJ34" s="173"/>
      <c r="NK34" s="173"/>
      <c r="NL34" s="173"/>
      <c r="NM34" s="175"/>
      <c r="NN34" s="173"/>
      <c r="NO34" s="173"/>
      <c r="NP34" s="173"/>
      <c r="NQ34" s="173"/>
      <c r="NR34" s="173"/>
      <c r="NS34" s="176"/>
      <c r="NT34" s="173"/>
      <c r="NU34" s="173"/>
      <c r="NV34" s="173"/>
      <c r="NW34" s="173"/>
      <c r="NX34" s="173"/>
      <c r="NY34" s="175"/>
      <c r="NZ34" s="173"/>
      <c r="OA34" s="173"/>
      <c r="OB34" s="173"/>
      <c r="OC34" s="173"/>
      <c r="OD34" s="173"/>
      <c r="OE34" s="176"/>
      <c r="OF34" s="172"/>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90"/>
    </row>
    <row r="35" spans="1:486" ht="20.100000000000001" customHeight="1" x14ac:dyDescent="0.25">
      <c r="A35" s="100" t="s">
        <v>20</v>
      </c>
      <c r="B35" s="63" t="str">
        <f>IF(LEN(C55)=0,"",C55)</f>
        <v/>
      </c>
      <c r="C35" s="195"/>
      <c r="D35" s="146"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90"/>
    </row>
    <row r="36" spans="1:486" ht="20.100000000000001" customHeight="1" x14ac:dyDescent="0.25">
      <c r="A36" s="100" t="s">
        <v>21</v>
      </c>
      <c r="B36" s="63" t="str">
        <f>IF(LEN(C57)=0,"",C57)</f>
        <v/>
      </c>
      <c r="C36" s="19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90"/>
    </row>
    <row r="37" spans="1:486" ht="20.100000000000001" customHeight="1" x14ac:dyDescent="0.25">
      <c r="A37" s="100" t="s">
        <v>20</v>
      </c>
      <c r="B37" s="63" t="str">
        <f>IF(LEN(C59)=0,"",C59)</f>
        <v/>
      </c>
      <c r="C37" s="195"/>
      <c r="D37" s="146"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90"/>
    </row>
    <row r="38" spans="1:486" ht="20.100000000000001" customHeight="1" x14ac:dyDescent="0.3">
      <c r="A38" s="100" t="s">
        <v>21</v>
      </c>
      <c r="B38" s="63" t="str">
        <f>IF(LEN(C61)=0,"",C61)</f>
        <v/>
      </c>
      <c r="C38" s="196"/>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90"/>
    </row>
    <row r="39" spans="1:486" ht="20.100000000000001" customHeight="1" x14ac:dyDescent="0.25">
      <c r="A39" s="100" t="s">
        <v>20</v>
      </c>
      <c r="B39" s="63" t="str">
        <f>IF(LEN(C63)=0,"",C63)</f>
        <v/>
      </c>
      <c r="C39" s="195"/>
      <c r="D39" s="146"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90"/>
    </row>
    <row r="40" spans="1:486" ht="20.100000000000001" customHeight="1" x14ac:dyDescent="0.25">
      <c r="A40" s="100" t="s">
        <v>21</v>
      </c>
      <c r="B40" s="63" t="str">
        <f>IF(LEN(C65)=0,"",C65)</f>
        <v/>
      </c>
      <c r="C40" s="19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90"/>
    </row>
    <row r="41" spans="1:486" ht="20.100000000000001" customHeight="1" x14ac:dyDescent="0.25">
      <c r="A41" s="100" t="s">
        <v>20</v>
      </c>
      <c r="B41" s="63" t="str">
        <f>IF(LEN(C67)=0,"",C67)</f>
        <v/>
      </c>
      <c r="C41" s="195"/>
      <c r="D41" s="146"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90"/>
    </row>
    <row r="42" spans="1:486" ht="20.100000000000001" customHeight="1" x14ac:dyDescent="0.3">
      <c r="A42" s="100" t="s">
        <v>21</v>
      </c>
      <c r="B42" s="63" t="str">
        <f>IF(LEN(C69)=0,"",C69)</f>
        <v/>
      </c>
      <c r="C42" s="196"/>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90"/>
    </row>
    <row r="43" spans="1:486" ht="20.100000000000001" customHeight="1" x14ac:dyDescent="0.25">
      <c r="A43" s="100" t="s">
        <v>20</v>
      </c>
      <c r="B43" s="63" t="str">
        <f>IF(LEN(C71)=0,"",C71)</f>
        <v/>
      </c>
      <c r="C43" s="195"/>
      <c r="D43" s="146"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90"/>
    </row>
    <row r="44" spans="1:486" ht="20.100000000000001" customHeight="1" x14ac:dyDescent="0.3">
      <c r="A44" s="100" t="s">
        <v>21</v>
      </c>
      <c r="B44" s="63" t="str">
        <f>IF(LEN(C73)=0,"",C73)</f>
        <v/>
      </c>
      <c r="C44" s="196"/>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90"/>
    </row>
    <row r="45" spans="1:486" ht="20.100000000000001" customHeight="1" x14ac:dyDescent="0.25">
      <c r="A45" s="100" t="s">
        <v>20</v>
      </c>
      <c r="B45" s="63" t="str">
        <f>IF(LEN(C75)=0,"",C75)</f>
        <v/>
      </c>
      <c r="C45" s="195"/>
      <c r="D45" s="146"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90"/>
    </row>
    <row r="46" spans="1:486" ht="20.100000000000001" customHeight="1" x14ac:dyDescent="0.25">
      <c r="A46" s="100" t="s">
        <v>21</v>
      </c>
      <c r="B46" s="63" t="str">
        <f>IF(LEN(C77)=0,"",C77)</f>
        <v/>
      </c>
      <c r="C46" s="19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90"/>
    </row>
    <row r="47" spans="1:486" ht="20.100000000000001" customHeight="1" x14ac:dyDescent="0.25">
      <c r="A47" s="100" t="s">
        <v>20</v>
      </c>
      <c r="B47" s="63" t="str">
        <f>IF(LEN(C79)=0,"",C79)</f>
        <v/>
      </c>
      <c r="C47" s="195"/>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90"/>
    </row>
    <row r="48" spans="1:486" ht="20.100000000000001" customHeight="1" x14ac:dyDescent="0.3">
      <c r="A48" s="100" t="s">
        <v>21</v>
      </c>
      <c r="B48" s="63" t="str">
        <f>IF(LEN(C81)=0,"",C81)</f>
        <v/>
      </c>
      <c r="C48" s="19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90"/>
    </row>
    <row r="49" spans="1:486" ht="20.100000000000001" customHeight="1" x14ac:dyDescent="0.25">
      <c r="A49" s="100" t="s">
        <v>20</v>
      </c>
      <c r="B49" s="63" t="str">
        <f>IF(LEN(C83)=0,"",C83)</f>
        <v/>
      </c>
      <c r="C49" s="195"/>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90"/>
    </row>
    <row r="50" spans="1:486" ht="20.100000000000001" customHeight="1" x14ac:dyDescent="0.3">
      <c r="A50" s="100" t="s">
        <v>21</v>
      </c>
      <c r="B50" s="63" t="str">
        <f>IF(LEN(C85)=0,"",C85)</f>
        <v/>
      </c>
      <c r="C50" s="196"/>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90"/>
    </row>
    <row r="51" spans="1:486" ht="20.100000000000001" customHeight="1" x14ac:dyDescent="0.25">
      <c r="A51" s="100" t="s">
        <v>20</v>
      </c>
      <c r="B51" s="63" t="str">
        <f>IF(LEN(C87)=0,"",C87)</f>
        <v/>
      </c>
      <c r="C51" s="195"/>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90"/>
    </row>
    <row r="52" spans="1:486" ht="20.100000000000001" customHeight="1" x14ac:dyDescent="0.25">
      <c r="A52" s="100" t="s">
        <v>21</v>
      </c>
      <c r="B52" s="63" t="str">
        <f>IF(LEN(C89)=0,"",C89)</f>
        <v/>
      </c>
      <c r="C52" s="19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90"/>
    </row>
    <row r="53" spans="1:486" ht="20.100000000000001" customHeight="1" x14ac:dyDescent="0.25">
      <c r="A53" s="100" t="s">
        <v>20</v>
      </c>
      <c r="B53" s="63" t="str">
        <f>IF(LEN(C91)=0,"",C91)</f>
        <v/>
      </c>
      <c r="C53" s="19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90"/>
    </row>
    <row r="54" spans="1:486" ht="20.100000000000001" customHeight="1" x14ac:dyDescent="0.3">
      <c r="A54" s="100" t="s">
        <v>21</v>
      </c>
      <c r="B54" s="63" t="str">
        <f>IF(LEN(C93)=0,"",C93)</f>
        <v/>
      </c>
      <c r="C54" s="19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90"/>
    </row>
    <row r="55" spans="1:486" ht="20.100000000000001" customHeight="1" x14ac:dyDescent="0.25">
      <c r="A55" s="100" t="s">
        <v>20</v>
      </c>
      <c r="B55" s="63"/>
      <c r="C55" s="19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90"/>
    </row>
    <row r="56" spans="1:486" ht="20.100000000000001" customHeight="1" x14ac:dyDescent="0.25">
      <c r="A56" s="100" t="s">
        <v>21</v>
      </c>
      <c r="B56" s="63"/>
      <c r="C56" s="19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90"/>
    </row>
    <row r="57" spans="1:486" ht="20.100000000000001" customHeight="1" x14ac:dyDescent="0.25">
      <c r="A57" s="100" t="s">
        <v>20</v>
      </c>
      <c r="B57" s="63"/>
      <c r="C57" s="19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90"/>
    </row>
    <row r="58" spans="1:486" ht="20.100000000000001" customHeight="1" x14ac:dyDescent="0.3">
      <c r="A58" s="100" t="s">
        <v>21</v>
      </c>
      <c r="B58" s="63"/>
      <c r="C58" s="19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90"/>
    </row>
    <row r="59" spans="1:486" ht="20.100000000000001" customHeight="1" x14ac:dyDescent="0.25">
      <c r="A59" s="100" t="s">
        <v>20</v>
      </c>
      <c r="B59" s="63"/>
      <c r="C59" s="19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90"/>
    </row>
    <row r="60" spans="1:486" ht="20.100000000000001" customHeight="1" x14ac:dyDescent="0.3">
      <c r="A60" s="100" t="s">
        <v>21</v>
      </c>
      <c r="B60" s="63"/>
      <c r="C60" s="19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90"/>
    </row>
    <row r="61" spans="1:486" ht="20.100000000000001" customHeight="1" x14ac:dyDescent="0.25">
      <c r="A61" s="100" t="s">
        <v>20</v>
      </c>
      <c r="B61" s="63"/>
      <c r="C61" s="19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90"/>
    </row>
    <row r="62" spans="1:486" ht="20.100000000000001" customHeight="1" x14ac:dyDescent="0.25">
      <c r="A62" s="100" t="s">
        <v>21</v>
      </c>
      <c r="B62" s="63"/>
      <c r="C62" s="19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90"/>
    </row>
    <row r="63" spans="1:486" ht="20.100000000000001" customHeight="1" x14ac:dyDescent="0.25">
      <c r="A63" s="100" t="s">
        <v>20</v>
      </c>
      <c r="B63" s="63"/>
      <c r="C63" s="19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90"/>
    </row>
    <row r="64" spans="1:486" ht="20.100000000000001" customHeight="1" x14ac:dyDescent="0.3">
      <c r="A64" s="100" t="s">
        <v>21</v>
      </c>
      <c r="B64" s="63"/>
      <c r="C64" s="19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90"/>
    </row>
    <row r="65" spans="1:486" ht="20.100000000000001" customHeight="1" x14ac:dyDescent="0.25">
      <c r="A65" s="100" t="s">
        <v>20</v>
      </c>
      <c r="B65" s="63"/>
      <c r="C65" s="19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90"/>
    </row>
    <row r="66" spans="1:486" ht="20.100000000000001" customHeight="1" x14ac:dyDescent="0.3">
      <c r="A66" s="100" t="s">
        <v>21</v>
      </c>
      <c r="B66" s="63"/>
      <c r="C66" s="19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90"/>
    </row>
    <row r="67" spans="1:486" ht="20.100000000000001" customHeight="1" x14ac:dyDescent="0.25">
      <c r="A67" s="100" t="s">
        <v>20</v>
      </c>
      <c r="B67" s="63"/>
      <c r="C67" s="19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90"/>
    </row>
    <row r="68" spans="1:486" ht="20.100000000000001" customHeight="1" x14ac:dyDescent="0.25">
      <c r="A68" s="100" t="s">
        <v>21</v>
      </c>
      <c r="B68" s="63"/>
      <c r="C68" s="19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90"/>
    </row>
    <row r="69" spans="1:486" ht="20.100000000000001" customHeight="1" x14ac:dyDescent="0.25">
      <c r="A69" s="100" t="s">
        <v>20</v>
      </c>
      <c r="B69" s="63"/>
      <c r="C69" s="19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90"/>
    </row>
    <row r="70" spans="1:486" ht="20.100000000000001" customHeight="1" x14ac:dyDescent="0.3">
      <c r="A70" s="100" t="s">
        <v>21</v>
      </c>
      <c r="B70" s="63"/>
      <c r="C70" s="19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90"/>
    </row>
    <row r="71" spans="1:486" ht="20.100000000000001" customHeight="1" x14ac:dyDescent="0.25">
      <c r="A71" s="100" t="s">
        <v>20</v>
      </c>
      <c r="B71" s="63"/>
      <c r="C71" s="19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90"/>
    </row>
    <row r="72" spans="1:486" ht="20.100000000000001" customHeight="1" x14ac:dyDescent="0.25">
      <c r="A72" s="100" t="s">
        <v>21</v>
      </c>
      <c r="B72" s="63"/>
      <c r="C72" s="19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90"/>
    </row>
    <row r="73" spans="1:486" ht="20.100000000000001" customHeight="1" x14ac:dyDescent="0.25">
      <c r="A73" s="100" t="s">
        <v>20</v>
      </c>
      <c r="B73" s="63"/>
      <c r="C73" s="19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90"/>
    </row>
    <row r="74" spans="1:486" ht="20.100000000000001" customHeight="1" x14ac:dyDescent="0.3">
      <c r="A74" s="100" t="s">
        <v>21</v>
      </c>
      <c r="B74" s="63"/>
      <c r="C74" s="19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90"/>
    </row>
    <row r="75" spans="1:486" ht="20.100000000000001" customHeight="1" x14ac:dyDescent="0.25">
      <c r="A75" s="100" t="s">
        <v>20</v>
      </c>
      <c r="B75" s="63"/>
      <c r="C75" s="19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90"/>
    </row>
    <row r="76" spans="1:486" ht="20.100000000000001" customHeight="1" x14ac:dyDescent="0.3">
      <c r="A76" s="100" t="s">
        <v>21</v>
      </c>
      <c r="B76" s="63"/>
      <c r="C76" s="19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90"/>
    </row>
    <row r="77" spans="1:486" ht="20.100000000000001" customHeight="1" x14ac:dyDescent="0.25">
      <c r="A77" s="100" t="s">
        <v>20</v>
      </c>
      <c r="B77" s="63"/>
      <c r="C77" s="19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90"/>
    </row>
    <row r="78" spans="1:486" ht="20.100000000000001" customHeight="1" x14ac:dyDescent="0.25">
      <c r="A78" s="100" t="s">
        <v>21</v>
      </c>
      <c r="B78" s="63"/>
      <c r="C78" s="19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90"/>
    </row>
    <row r="79" spans="1:486" ht="20.100000000000001" customHeight="1" x14ac:dyDescent="0.25">
      <c r="A79" s="100" t="s">
        <v>20</v>
      </c>
      <c r="B79" s="63"/>
      <c r="C79" s="19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90"/>
    </row>
    <row r="80" spans="1:486" ht="20.100000000000001" customHeight="1" x14ac:dyDescent="0.3">
      <c r="A80" s="100" t="s">
        <v>21</v>
      </c>
      <c r="B80" s="63"/>
      <c r="C80" s="19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90"/>
    </row>
    <row r="81" spans="1:486" ht="20.100000000000001" customHeight="1" x14ac:dyDescent="0.25">
      <c r="A81" s="100" t="s">
        <v>20</v>
      </c>
      <c r="B81" s="63"/>
      <c r="C81" s="19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90"/>
    </row>
    <row r="82" spans="1:486" ht="20.100000000000001" customHeight="1" x14ac:dyDescent="0.3">
      <c r="A82" s="100" t="s">
        <v>21</v>
      </c>
      <c r="B82" s="63"/>
      <c r="C82" s="19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90"/>
    </row>
    <row r="83" spans="1:486" ht="20.100000000000001" customHeight="1" x14ac:dyDescent="0.25">
      <c r="A83" s="100" t="s">
        <v>20</v>
      </c>
      <c r="B83" s="63"/>
      <c r="C83" s="19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90"/>
    </row>
    <row r="84" spans="1:486" ht="20.100000000000001" customHeight="1" x14ac:dyDescent="0.25">
      <c r="A84" s="100" t="s">
        <v>21</v>
      </c>
      <c r="B84" s="63"/>
      <c r="C84" s="19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90"/>
    </row>
    <row r="85" spans="1:486" ht="20.100000000000001" customHeight="1" x14ac:dyDescent="0.25">
      <c r="A85" s="100" t="s">
        <v>20</v>
      </c>
      <c r="B85" s="63"/>
      <c r="C85" s="19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90"/>
    </row>
    <row r="86" spans="1:486" ht="20.100000000000001" customHeight="1" x14ac:dyDescent="0.3">
      <c r="A86" s="100" t="s">
        <v>21</v>
      </c>
      <c r="B86" s="63"/>
      <c r="C86" s="19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90"/>
    </row>
    <row r="87" spans="1:486" ht="20.100000000000001" customHeight="1" x14ac:dyDescent="0.25">
      <c r="A87" s="100" t="s">
        <v>20</v>
      </c>
      <c r="B87" s="63"/>
      <c r="C87" s="19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90"/>
    </row>
    <row r="88" spans="1:486" ht="20.100000000000001" customHeight="1" x14ac:dyDescent="0.25">
      <c r="A88" s="100" t="s">
        <v>21</v>
      </c>
      <c r="B88" s="63"/>
      <c r="C88" s="19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90"/>
    </row>
    <row r="89" spans="1:486" ht="20.100000000000001" customHeight="1" x14ac:dyDescent="0.25">
      <c r="A89" s="100" t="s">
        <v>20</v>
      </c>
      <c r="B89" s="63"/>
      <c r="C89" s="19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90"/>
    </row>
    <row r="90" spans="1:486" ht="20.100000000000001" customHeight="1" x14ac:dyDescent="0.3">
      <c r="A90" s="100" t="s">
        <v>21</v>
      </c>
      <c r="B90" s="63"/>
      <c r="C90" s="19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90"/>
    </row>
    <row r="91" spans="1:486" ht="20.100000000000001" customHeight="1" x14ac:dyDescent="0.25">
      <c r="A91" s="100" t="s">
        <v>20</v>
      </c>
      <c r="B91" s="63"/>
      <c r="C91" s="19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90"/>
    </row>
    <row r="92" spans="1:486" ht="20.100000000000001" customHeight="1" x14ac:dyDescent="0.3">
      <c r="A92" s="100" t="s">
        <v>21</v>
      </c>
      <c r="B92" s="63"/>
      <c r="C92" s="19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90"/>
    </row>
    <row r="93" spans="1:486" ht="20.100000000000001" customHeight="1" x14ac:dyDescent="0.25">
      <c r="A93" s="100" t="s">
        <v>20</v>
      </c>
      <c r="B93" s="63"/>
      <c r="C93" s="19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90"/>
    </row>
    <row r="94" spans="1:486" ht="20.100000000000001" customHeight="1" x14ac:dyDescent="0.25">
      <c r="A94" s="100" t="s">
        <v>21</v>
      </c>
      <c r="B94" s="63"/>
      <c r="C94" s="19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90"/>
    </row>
    <row r="95" spans="1:486" ht="20.100000000000001" customHeight="1" x14ac:dyDescent="0.25">
      <c r="B95" s="96"/>
      <c r="C95" s="213" t="s">
        <v>9</v>
      </c>
      <c r="D95" s="214"/>
      <c r="E95" s="117">
        <f>SUM(E15,E17,E19,E21,E23,E25,E27,E29,E31,E33,E35,E37,E39,E41,E43,E45,E47,E49,E51,E53,E55,E57,E59,E61,E63,E65,E67,E69,E71,E73,E75,E77,E79,E81,E83,E85,E87,E89,E91,E93)</f>
        <v>261</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90"/>
    </row>
    <row r="96" spans="1:486" ht="20.100000000000001" customHeight="1" thickBot="1" x14ac:dyDescent="0.3">
      <c r="B96" s="96"/>
      <c r="C96" s="215"/>
      <c r="D96" s="216"/>
      <c r="E96" s="123" t="str">
        <f xml:space="preserve"> setValueToTime(E95)</f>
        <v>21h45min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90"/>
    </row>
    <row r="97" spans="2:486" ht="20.100000000000001" customHeight="1" x14ac:dyDescent="0.25">
      <c r="B97" s="96"/>
      <c r="C97" s="209" t="s">
        <v>10</v>
      </c>
      <c r="D97" s="210"/>
      <c r="E97" s="118">
        <f>SUM(E16,E18,E20,E22,E24,E26,E28,E30,E32,E34,E36,E38,E40,E42,E44,E46,E48,E50,E52,E54,E56,E58,E60,E62,E64,E66,E68,E70,E72,E74,E76,E78,E80,E82,E84,E86,E88,E90,E92,E94)</f>
        <v>255</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24"/>
    </row>
    <row r="98" spans="2:486" ht="20.100000000000001" customHeight="1" thickBot="1" x14ac:dyDescent="0.3">
      <c r="B98" s="96"/>
      <c r="C98" s="211"/>
      <c r="D98" s="212"/>
      <c r="E98" s="122" t="str">
        <f xml:space="preserve"> setValueToTime(E97)</f>
        <v>21h15min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90"/>
    </row>
    <row r="99" spans="2:4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91"/>
    </row>
  </sheetData>
  <sheetProtection insertRows="0" insertHyperlinks="0" selectLockedCells="1"/>
  <mergeCells count="15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97"/>
  <sheetViews>
    <sheetView showGridLines="0" topLeftCell="E1" zoomScaleNormal="100" zoomScaleSheetLayoutView="98" workbookViewId="0">
      <pane ySplit="1" topLeftCell="A88" activePane="bottomLeft" state="frozen"/>
      <selection activeCell="BC13" sqref="BC13"/>
      <selection pane="bottomLeft" activeCell="G97" sqref="G97"/>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2851562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8</v>
      </c>
      <c r="C2" s="163"/>
      <c r="D2" s="82" t="s">
        <v>15</v>
      </c>
      <c r="E2" s="94">
        <v>45534</v>
      </c>
      <c r="F2" s="126"/>
      <c r="G2" s="46"/>
    </row>
    <row r="3" spans="1:7" s="47" customFormat="1" ht="30" customHeight="1" thickBot="1" x14ac:dyDescent="0.3">
      <c r="A3" s="80" t="s">
        <v>5</v>
      </c>
      <c r="B3" s="150" t="s">
        <v>42</v>
      </c>
      <c r="C3" s="151"/>
      <c r="D3" s="80" t="s">
        <v>13</v>
      </c>
      <c r="E3" s="223" t="s">
        <v>14</v>
      </c>
      <c r="F3" s="224"/>
      <c r="G3" s="46"/>
    </row>
    <row r="4" spans="1:7" s="52" customFormat="1" x14ac:dyDescent="0.3">
      <c r="A4" s="53" t="s">
        <v>17</v>
      </c>
      <c r="B4" s="54">
        <v>1</v>
      </c>
      <c r="C4" s="152" t="str">
        <f xml:space="preserve"> IF(B4="","",setValueToTime(B4))</f>
        <v>0h5min</v>
      </c>
      <c r="D4" s="50"/>
      <c r="E4" s="225"/>
      <c r="F4" s="226"/>
      <c r="G4" s="51"/>
    </row>
    <row r="5" spans="1:7" s="52" customFormat="1" x14ac:dyDescent="0.3">
      <c r="A5" s="53" t="s">
        <v>16</v>
      </c>
      <c r="B5" s="54">
        <v>6</v>
      </c>
      <c r="C5" s="153" t="str">
        <f t="shared" ref="C5:C11" si="0" xml:space="preserve"> IF(B5="","",setValueToTime(B5))</f>
        <v>0h30min</v>
      </c>
      <c r="D5" s="55"/>
      <c r="E5" s="217"/>
      <c r="F5" s="218"/>
      <c r="G5" s="51"/>
    </row>
    <row r="6" spans="1:7" s="52" customFormat="1" x14ac:dyDescent="0.3">
      <c r="A6" s="53" t="s">
        <v>52</v>
      </c>
      <c r="B6" s="54">
        <v>29</v>
      </c>
      <c r="C6" s="153" t="str">
        <f t="shared" si="0"/>
        <v>2h25min</v>
      </c>
      <c r="D6" s="55"/>
      <c r="E6" s="217"/>
      <c r="F6" s="218"/>
      <c r="G6" s="51"/>
    </row>
    <row r="7" spans="1:7" s="52" customFormat="1" x14ac:dyDescent="0.3">
      <c r="A7" s="53"/>
      <c r="B7" s="54"/>
      <c r="C7" s="153" t="str">
        <f t="shared" si="0"/>
        <v/>
      </c>
      <c r="D7" s="55"/>
      <c r="E7" s="217"/>
      <c r="F7" s="218"/>
      <c r="G7" s="51"/>
    </row>
    <row r="8" spans="1:7" s="52" customFormat="1" x14ac:dyDescent="0.3">
      <c r="A8" s="54"/>
      <c r="B8" s="54"/>
      <c r="C8" s="154" t="str">
        <f t="shared" si="0"/>
        <v/>
      </c>
      <c r="D8" s="55"/>
      <c r="E8" s="217"/>
      <c r="F8" s="218"/>
      <c r="G8" s="51"/>
    </row>
    <row r="9" spans="1:7" s="52" customFormat="1" x14ac:dyDescent="0.3">
      <c r="A9" s="54"/>
      <c r="B9" s="54"/>
      <c r="C9" s="154" t="str">
        <f t="shared" si="0"/>
        <v/>
      </c>
      <c r="D9" s="55"/>
      <c r="E9" s="217"/>
      <c r="F9" s="218"/>
      <c r="G9" s="51"/>
    </row>
    <row r="10" spans="1:7" s="52" customFormat="1" x14ac:dyDescent="0.3">
      <c r="A10" s="54"/>
      <c r="B10" s="54"/>
      <c r="C10" s="154" t="str">
        <f t="shared" si="0"/>
        <v/>
      </c>
      <c r="D10" s="55"/>
      <c r="E10" s="217"/>
      <c r="F10" s="218"/>
      <c r="G10" s="51"/>
    </row>
    <row r="11" spans="1:7" s="52" customFormat="1" ht="15" thickBot="1" x14ac:dyDescent="0.35">
      <c r="A11" s="56"/>
      <c r="B11" s="56"/>
      <c r="C11" s="155" t="str">
        <f t="shared" si="0"/>
        <v/>
      </c>
      <c r="D11" s="57"/>
      <c r="E11" s="219"/>
      <c r="F11" s="220"/>
      <c r="G11" s="51"/>
    </row>
    <row r="12" spans="1:7" s="52" customFormat="1" ht="15" thickBot="1" x14ac:dyDescent="0.35">
      <c r="A12" s="111" t="s">
        <v>29</v>
      </c>
      <c r="B12" s="84">
        <f>SUM(B4:B11)</f>
        <v>36</v>
      </c>
      <c r="C12" s="111" t="str">
        <f xml:space="preserve"> setValueToTime(B12)</f>
        <v>3h</v>
      </c>
      <c r="D12" s="120"/>
      <c r="E12" s="221"/>
      <c r="F12" s="222"/>
      <c r="G12" s="51"/>
    </row>
    <row r="13" spans="1:7" s="59" customFormat="1" ht="15" thickBot="1" x14ac:dyDescent="0.35">
      <c r="A13" s="79"/>
      <c r="B13" s="79"/>
      <c r="C13" s="79"/>
      <c r="D13" s="79"/>
      <c r="E13" s="79"/>
      <c r="F13" s="79"/>
      <c r="G13" s="58"/>
    </row>
    <row r="14" spans="1:7" s="47" customFormat="1" ht="30" customHeight="1" thickBot="1" x14ac:dyDescent="0.3">
      <c r="A14" s="81" t="s">
        <v>12</v>
      </c>
      <c r="B14" s="163">
        <v>7</v>
      </c>
      <c r="C14" s="163"/>
      <c r="D14" s="82" t="s">
        <v>15</v>
      </c>
      <c r="E14" s="94">
        <v>45534</v>
      </c>
      <c r="F14" s="126"/>
      <c r="G14" s="46"/>
    </row>
    <row r="15" spans="1:7" s="47" customFormat="1" ht="30" customHeight="1" thickBot="1" x14ac:dyDescent="0.3">
      <c r="A15" s="80" t="s">
        <v>5</v>
      </c>
      <c r="B15" s="150" t="s">
        <v>42</v>
      </c>
      <c r="C15" s="151"/>
      <c r="D15" s="80" t="s">
        <v>13</v>
      </c>
      <c r="E15" s="223" t="s">
        <v>14</v>
      </c>
      <c r="F15" s="224"/>
      <c r="G15" s="46"/>
    </row>
    <row r="16" spans="1:7" s="52" customFormat="1" x14ac:dyDescent="0.3">
      <c r="A16" s="48"/>
      <c r="B16" s="49"/>
      <c r="C16" s="152" t="str">
        <f xml:space="preserve"> IF(B16="","",setValueToTime(B16))</f>
        <v/>
      </c>
      <c r="D16" s="50"/>
      <c r="E16" s="225"/>
      <c r="F16" s="226"/>
      <c r="G16" s="51"/>
    </row>
    <row r="17" spans="1:7" s="52" customFormat="1" x14ac:dyDescent="0.3">
      <c r="A17" s="53" t="s">
        <v>17</v>
      </c>
      <c r="B17" s="54">
        <v>1</v>
      </c>
      <c r="C17" s="153" t="str">
        <f t="shared" ref="C17:C23" si="1" xml:space="preserve"> IF(B17="","",setValueToTime(B17))</f>
        <v>0h5min</v>
      </c>
      <c r="D17" s="55"/>
      <c r="E17" s="217"/>
      <c r="F17" s="218"/>
      <c r="G17" s="51"/>
    </row>
    <row r="18" spans="1:7" s="52" customFormat="1" x14ac:dyDescent="0.3">
      <c r="A18" s="53" t="s">
        <v>16</v>
      </c>
      <c r="B18" s="54">
        <v>6</v>
      </c>
      <c r="C18" s="153" t="str">
        <f t="shared" si="1"/>
        <v>0h30min</v>
      </c>
      <c r="D18" s="55"/>
      <c r="E18" s="217"/>
      <c r="F18" s="218"/>
      <c r="G18" s="51"/>
    </row>
    <row r="19" spans="1:7" s="52" customFormat="1" x14ac:dyDescent="0.3">
      <c r="A19" s="53" t="s">
        <v>52</v>
      </c>
      <c r="B19" s="54">
        <v>29</v>
      </c>
      <c r="C19" s="153" t="str">
        <f t="shared" si="1"/>
        <v>2h25min</v>
      </c>
      <c r="D19" s="55"/>
      <c r="E19" s="217"/>
      <c r="F19" s="218"/>
      <c r="G19" s="51"/>
    </row>
    <row r="20" spans="1:7" s="52" customFormat="1" x14ac:dyDescent="0.3">
      <c r="A20" s="54"/>
      <c r="B20" s="54"/>
      <c r="C20" s="154" t="str">
        <f t="shared" si="1"/>
        <v/>
      </c>
      <c r="D20" s="55"/>
      <c r="E20" s="217"/>
      <c r="F20" s="218"/>
      <c r="G20" s="51"/>
    </row>
    <row r="21" spans="1:7" s="52" customFormat="1" x14ac:dyDescent="0.3">
      <c r="A21" s="54"/>
      <c r="B21" s="54"/>
      <c r="C21" s="154" t="str">
        <f t="shared" si="1"/>
        <v/>
      </c>
      <c r="D21" s="55"/>
      <c r="E21" s="217"/>
      <c r="F21" s="218"/>
      <c r="G21" s="51"/>
    </row>
    <row r="22" spans="1:7" s="52" customFormat="1" x14ac:dyDescent="0.3">
      <c r="A22" s="54"/>
      <c r="B22" s="54"/>
      <c r="C22" s="154" t="str">
        <f t="shared" si="1"/>
        <v/>
      </c>
      <c r="D22" s="55"/>
      <c r="E22" s="217"/>
      <c r="F22" s="218"/>
      <c r="G22" s="51"/>
    </row>
    <row r="23" spans="1:7" s="52" customFormat="1" ht="15" thickBot="1" x14ac:dyDescent="0.35">
      <c r="A23" s="56"/>
      <c r="B23" s="56"/>
      <c r="C23" s="155" t="str">
        <f t="shared" si="1"/>
        <v/>
      </c>
      <c r="D23" s="57"/>
      <c r="E23" s="219"/>
      <c r="F23" s="220"/>
      <c r="G23" s="51"/>
    </row>
    <row r="24" spans="1:7" s="52" customFormat="1" ht="15" thickBot="1" x14ac:dyDescent="0.35">
      <c r="A24" s="111" t="s">
        <v>29</v>
      </c>
      <c r="B24" s="84">
        <f>SUM(B16:B23)</f>
        <v>36</v>
      </c>
      <c r="C24" s="111" t="str">
        <f xml:space="preserve"> setValueToTime(B24)</f>
        <v>3h</v>
      </c>
      <c r="D24" s="120"/>
      <c r="E24" s="221"/>
      <c r="F24" s="222"/>
      <c r="G24" s="51"/>
    </row>
    <row r="25" spans="1:7" s="59" customFormat="1" ht="15" thickBot="1" x14ac:dyDescent="0.35">
      <c r="A25" s="79"/>
      <c r="B25" s="79"/>
      <c r="C25" s="79"/>
      <c r="D25" s="79"/>
      <c r="E25" s="79"/>
      <c r="F25" s="79"/>
      <c r="G25" s="58"/>
    </row>
    <row r="26" spans="1:7" s="47" customFormat="1" ht="30" customHeight="1" thickBot="1" x14ac:dyDescent="0.3">
      <c r="A26" s="81" t="s">
        <v>12</v>
      </c>
      <c r="B26" s="163">
        <v>6</v>
      </c>
      <c r="C26" s="163"/>
      <c r="D26" s="82" t="s">
        <v>15</v>
      </c>
      <c r="E26" s="94">
        <v>45534</v>
      </c>
      <c r="F26" s="126"/>
      <c r="G26" s="46"/>
    </row>
    <row r="27" spans="1:7" s="47" customFormat="1" ht="30" customHeight="1" thickBot="1" x14ac:dyDescent="0.3">
      <c r="A27" s="80" t="s">
        <v>5</v>
      </c>
      <c r="B27" s="150" t="s">
        <v>42</v>
      </c>
      <c r="C27" s="151"/>
      <c r="D27" s="80" t="s">
        <v>13</v>
      </c>
      <c r="E27" s="223" t="s">
        <v>14</v>
      </c>
      <c r="F27" s="224"/>
      <c r="G27" s="46"/>
    </row>
    <row r="28" spans="1:7" s="52" customFormat="1" x14ac:dyDescent="0.3">
      <c r="A28" s="48"/>
      <c r="B28" s="49"/>
      <c r="C28" s="152" t="str">
        <f xml:space="preserve"> IF(B28="","",setValueToTime(B28))</f>
        <v/>
      </c>
      <c r="D28" s="50"/>
      <c r="E28" s="225"/>
      <c r="F28" s="226"/>
      <c r="G28" s="51"/>
    </row>
    <row r="29" spans="1:7" s="52" customFormat="1" x14ac:dyDescent="0.3">
      <c r="A29" s="53" t="s">
        <v>17</v>
      </c>
      <c r="B29" s="54">
        <v>1</v>
      </c>
      <c r="C29" s="153" t="str">
        <f t="shared" ref="C29:C35" si="2" xml:space="preserve"> IF(B29="","",setValueToTime(B29))</f>
        <v>0h5min</v>
      </c>
      <c r="D29" s="55"/>
      <c r="E29" s="217"/>
      <c r="F29" s="218"/>
      <c r="G29" s="51"/>
    </row>
    <row r="30" spans="1:7" s="52" customFormat="1" x14ac:dyDescent="0.3">
      <c r="A30" s="53" t="s">
        <v>16</v>
      </c>
      <c r="B30" s="54">
        <v>6</v>
      </c>
      <c r="C30" s="153" t="str">
        <f t="shared" si="2"/>
        <v>0h30min</v>
      </c>
      <c r="D30" s="55"/>
      <c r="E30" s="217"/>
      <c r="F30" s="218"/>
      <c r="G30" s="51"/>
    </row>
    <row r="31" spans="1:7" s="52" customFormat="1" x14ac:dyDescent="0.3">
      <c r="A31" s="53" t="s">
        <v>52</v>
      </c>
      <c r="B31" s="54">
        <v>29</v>
      </c>
      <c r="C31" s="153" t="str">
        <f t="shared" si="2"/>
        <v>2h25min</v>
      </c>
      <c r="D31" s="55"/>
      <c r="E31" s="217"/>
      <c r="F31" s="218"/>
      <c r="G31" s="51"/>
    </row>
    <row r="32" spans="1:7" s="52" customFormat="1" x14ac:dyDescent="0.3">
      <c r="A32" s="54"/>
      <c r="B32" s="54"/>
      <c r="C32" s="154" t="str">
        <f t="shared" si="2"/>
        <v/>
      </c>
      <c r="D32" s="55"/>
      <c r="E32" s="217"/>
      <c r="F32" s="218"/>
      <c r="G32" s="51"/>
    </row>
    <row r="33" spans="1:7" s="52" customFormat="1" x14ac:dyDescent="0.3">
      <c r="A33" s="54"/>
      <c r="B33" s="54"/>
      <c r="C33" s="154" t="str">
        <f t="shared" si="2"/>
        <v/>
      </c>
      <c r="D33" s="55"/>
      <c r="E33" s="217"/>
      <c r="F33" s="218"/>
      <c r="G33" s="51"/>
    </row>
    <row r="34" spans="1:7" s="52" customFormat="1" x14ac:dyDescent="0.3">
      <c r="A34" s="54"/>
      <c r="B34" s="54"/>
      <c r="C34" s="154" t="str">
        <f t="shared" si="2"/>
        <v/>
      </c>
      <c r="D34" s="55"/>
      <c r="E34" s="217"/>
      <c r="F34" s="218"/>
      <c r="G34" s="51"/>
    </row>
    <row r="35" spans="1:7" s="52" customFormat="1" ht="15" thickBot="1" x14ac:dyDescent="0.35">
      <c r="A35" s="56"/>
      <c r="B35" s="56"/>
      <c r="C35" s="155" t="str">
        <f t="shared" si="2"/>
        <v/>
      </c>
      <c r="D35" s="57"/>
      <c r="E35" s="219"/>
      <c r="F35" s="220"/>
      <c r="G35" s="51"/>
    </row>
    <row r="36" spans="1:7" s="52" customFormat="1" ht="15" thickBot="1" x14ac:dyDescent="0.35">
      <c r="A36" s="111" t="s">
        <v>29</v>
      </c>
      <c r="B36" s="84">
        <f>SUM(B28:B35)</f>
        <v>36</v>
      </c>
      <c r="C36" s="111" t="str">
        <f xml:space="preserve"> setValueToTime(B36)</f>
        <v>3h</v>
      </c>
      <c r="D36" s="120"/>
      <c r="E36" s="221"/>
      <c r="F36" s="222"/>
      <c r="G36" s="51"/>
    </row>
    <row r="37" spans="1:7" s="59" customFormat="1" ht="15" thickBot="1" x14ac:dyDescent="0.35">
      <c r="A37" s="79"/>
      <c r="B37" s="79"/>
      <c r="C37" s="79"/>
      <c r="D37" s="79"/>
      <c r="E37" s="79"/>
      <c r="F37" s="79"/>
      <c r="G37" s="58"/>
    </row>
    <row r="38" spans="1:7" s="47" customFormat="1" ht="30" customHeight="1" thickBot="1" x14ac:dyDescent="0.3">
      <c r="A38" s="81" t="s">
        <v>12</v>
      </c>
      <c r="B38" s="163">
        <v>5</v>
      </c>
      <c r="C38" s="163"/>
      <c r="D38" s="82" t="s">
        <v>15</v>
      </c>
      <c r="E38" s="94">
        <v>45534</v>
      </c>
      <c r="F38" s="126"/>
      <c r="G38" s="46"/>
    </row>
    <row r="39" spans="1:7" s="47" customFormat="1" ht="30" customHeight="1" thickBot="1" x14ac:dyDescent="0.3">
      <c r="A39" s="80" t="s">
        <v>5</v>
      </c>
      <c r="B39" s="150" t="s">
        <v>42</v>
      </c>
      <c r="C39" s="151"/>
      <c r="D39" s="80" t="s">
        <v>13</v>
      </c>
      <c r="E39" s="223" t="s">
        <v>14</v>
      </c>
      <c r="F39" s="224"/>
      <c r="G39" s="46"/>
    </row>
    <row r="40" spans="1:7" s="52" customFormat="1" x14ac:dyDescent="0.3">
      <c r="A40" s="48"/>
      <c r="B40" s="49"/>
      <c r="C40" s="152" t="str">
        <f xml:space="preserve"> IF(B40="","",setValueToTime(B40))</f>
        <v/>
      </c>
      <c r="D40" s="50"/>
      <c r="E40" s="225"/>
      <c r="F40" s="226"/>
      <c r="G40" s="51"/>
    </row>
    <row r="41" spans="1:7" s="52" customFormat="1" x14ac:dyDescent="0.3">
      <c r="A41" s="53" t="s">
        <v>17</v>
      </c>
      <c r="B41" s="54">
        <v>1</v>
      </c>
      <c r="C41" s="153" t="str">
        <f t="shared" ref="C41:C47" si="3" xml:space="preserve"> IF(B41="","",setValueToTime(B41))</f>
        <v>0h5min</v>
      </c>
      <c r="D41" s="55"/>
      <c r="E41" s="217"/>
      <c r="F41" s="218"/>
      <c r="G41" s="51"/>
    </row>
    <row r="42" spans="1:7" s="52" customFormat="1" x14ac:dyDescent="0.3">
      <c r="A42" s="53" t="s">
        <v>16</v>
      </c>
      <c r="B42" s="54">
        <v>3</v>
      </c>
      <c r="C42" s="153" t="str">
        <f t="shared" si="3"/>
        <v>0h15min</v>
      </c>
      <c r="D42" s="55"/>
      <c r="E42" s="217"/>
      <c r="F42" s="218"/>
      <c r="G42" s="51"/>
    </row>
    <row r="43" spans="1:7" s="52" customFormat="1" x14ac:dyDescent="0.3">
      <c r="A43" s="53" t="s">
        <v>52</v>
      </c>
      <c r="B43" s="54">
        <v>32</v>
      </c>
      <c r="C43" s="153" t="str">
        <f t="shared" si="3"/>
        <v>2h40min</v>
      </c>
      <c r="D43" s="55"/>
      <c r="E43" s="217"/>
      <c r="F43" s="218"/>
      <c r="G43" s="51"/>
    </row>
    <row r="44" spans="1:7" s="52" customFormat="1" x14ac:dyDescent="0.3">
      <c r="A44" s="54"/>
      <c r="B44" s="54"/>
      <c r="C44" s="154" t="str">
        <f t="shared" si="3"/>
        <v/>
      </c>
      <c r="D44" s="55"/>
      <c r="E44" s="217"/>
      <c r="F44" s="218"/>
      <c r="G44" s="51"/>
    </row>
    <row r="45" spans="1:7" s="52" customFormat="1" x14ac:dyDescent="0.3">
      <c r="A45" s="54"/>
      <c r="B45" s="54"/>
      <c r="C45" s="154" t="str">
        <f t="shared" si="3"/>
        <v/>
      </c>
      <c r="D45" s="55"/>
      <c r="E45" s="217"/>
      <c r="F45" s="218"/>
      <c r="G45" s="51"/>
    </row>
    <row r="46" spans="1:7" s="52" customFormat="1" x14ac:dyDescent="0.3">
      <c r="A46" s="54"/>
      <c r="B46" s="54"/>
      <c r="C46" s="154" t="str">
        <f t="shared" si="3"/>
        <v/>
      </c>
      <c r="D46" s="55"/>
      <c r="E46" s="217"/>
      <c r="F46" s="218"/>
      <c r="G46" s="51"/>
    </row>
    <row r="47" spans="1:7" s="52" customFormat="1" ht="15" thickBot="1" x14ac:dyDescent="0.35">
      <c r="A47" s="56"/>
      <c r="B47" s="56"/>
      <c r="C47" s="155" t="str">
        <f t="shared" si="3"/>
        <v/>
      </c>
      <c r="D47" s="57"/>
      <c r="E47" s="219"/>
      <c r="F47" s="220"/>
      <c r="G47" s="51"/>
    </row>
    <row r="48" spans="1:7" s="52" customFormat="1" ht="15" thickBot="1" x14ac:dyDescent="0.35">
      <c r="A48" s="111" t="s">
        <v>29</v>
      </c>
      <c r="B48" s="84">
        <f>SUM(B40:B47)</f>
        <v>36</v>
      </c>
      <c r="C48" s="111" t="str">
        <f xml:space="preserve"> setValueToTime(B48)</f>
        <v>3h</v>
      </c>
      <c r="D48" s="120"/>
      <c r="E48" s="221"/>
      <c r="F48" s="222"/>
      <c r="G48" s="51"/>
    </row>
    <row r="49" spans="1:7" s="59" customFormat="1" ht="15" thickBot="1" x14ac:dyDescent="0.35">
      <c r="A49" s="79"/>
      <c r="B49" s="79"/>
      <c r="C49" s="79"/>
      <c r="D49" s="79"/>
      <c r="E49" s="79"/>
      <c r="F49" s="79"/>
      <c r="G49" s="58"/>
    </row>
    <row r="50" spans="1:7" s="47" customFormat="1" ht="30" customHeight="1" thickBot="1" x14ac:dyDescent="0.3">
      <c r="A50" s="81" t="s">
        <v>12</v>
      </c>
      <c r="B50" s="163">
        <v>4</v>
      </c>
      <c r="C50" s="163"/>
      <c r="D50" s="82" t="s">
        <v>15</v>
      </c>
      <c r="E50" s="94">
        <v>45534</v>
      </c>
      <c r="F50" s="126"/>
      <c r="G50" s="46"/>
    </row>
    <row r="51" spans="1:7" s="47" customFormat="1" ht="30" customHeight="1" thickBot="1" x14ac:dyDescent="0.3">
      <c r="A51" s="80" t="s">
        <v>5</v>
      </c>
      <c r="B51" s="150" t="s">
        <v>42</v>
      </c>
      <c r="C51" s="151"/>
      <c r="D51" s="80" t="s">
        <v>13</v>
      </c>
      <c r="E51" s="223" t="s">
        <v>14</v>
      </c>
      <c r="F51" s="224"/>
      <c r="G51" s="46"/>
    </row>
    <row r="52" spans="1:7" s="52" customFormat="1" x14ac:dyDescent="0.3">
      <c r="A52" s="48"/>
      <c r="B52" s="49"/>
      <c r="C52" s="152" t="str">
        <f xml:space="preserve"> IF(B52="","",setValueToTime(B52))</f>
        <v/>
      </c>
      <c r="D52" s="50"/>
      <c r="E52" s="225"/>
      <c r="F52" s="226"/>
      <c r="G52" s="51"/>
    </row>
    <row r="53" spans="1:7" s="52" customFormat="1" x14ac:dyDescent="0.3">
      <c r="A53" s="53" t="s">
        <v>17</v>
      </c>
      <c r="B53" s="54">
        <v>1</v>
      </c>
      <c r="C53" s="153" t="str">
        <f t="shared" ref="C53:C59" si="4" xml:space="preserve"> IF(B53="","",setValueToTime(B53))</f>
        <v>0h5min</v>
      </c>
      <c r="D53" s="55"/>
      <c r="E53" s="217"/>
      <c r="F53" s="218"/>
      <c r="G53" s="51"/>
    </row>
    <row r="54" spans="1:7" s="52" customFormat="1" x14ac:dyDescent="0.3">
      <c r="A54" s="53" t="s">
        <v>16</v>
      </c>
      <c r="B54" s="54">
        <v>3</v>
      </c>
      <c r="C54" s="153" t="str">
        <f t="shared" si="4"/>
        <v>0h15min</v>
      </c>
      <c r="D54" s="55"/>
      <c r="E54" s="217"/>
      <c r="F54" s="218"/>
      <c r="G54" s="51"/>
    </row>
    <row r="55" spans="1:7" s="52" customFormat="1" x14ac:dyDescent="0.3">
      <c r="A55" s="53" t="s">
        <v>52</v>
      </c>
      <c r="B55" s="54">
        <v>32</v>
      </c>
      <c r="C55" s="153" t="str">
        <f t="shared" si="4"/>
        <v>2h40min</v>
      </c>
      <c r="D55" s="55"/>
      <c r="E55" s="217"/>
      <c r="F55" s="218"/>
      <c r="G55" s="51"/>
    </row>
    <row r="56" spans="1:7" s="52" customFormat="1" x14ac:dyDescent="0.3">
      <c r="A56" s="54"/>
      <c r="B56" s="54"/>
      <c r="C56" s="154" t="str">
        <f t="shared" si="4"/>
        <v/>
      </c>
      <c r="D56" s="55"/>
      <c r="E56" s="217"/>
      <c r="F56" s="218"/>
      <c r="G56" s="51"/>
    </row>
    <row r="57" spans="1:7" s="52" customFormat="1" x14ac:dyDescent="0.3">
      <c r="A57" s="54"/>
      <c r="B57" s="54"/>
      <c r="C57" s="154" t="str">
        <f t="shared" si="4"/>
        <v/>
      </c>
      <c r="D57" s="55"/>
      <c r="E57" s="217"/>
      <c r="F57" s="218"/>
      <c r="G57" s="51"/>
    </row>
    <row r="58" spans="1:7" s="52" customFormat="1" x14ac:dyDescent="0.3">
      <c r="A58" s="54"/>
      <c r="B58" s="54"/>
      <c r="C58" s="154" t="str">
        <f t="shared" si="4"/>
        <v/>
      </c>
      <c r="D58" s="55"/>
      <c r="E58" s="217"/>
      <c r="F58" s="218"/>
      <c r="G58" s="51"/>
    </row>
    <row r="59" spans="1:7" s="52" customFormat="1" ht="15" thickBot="1" x14ac:dyDescent="0.35">
      <c r="A59" s="56"/>
      <c r="B59" s="56"/>
      <c r="C59" s="155" t="str">
        <f t="shared" si="4"/>
        <v/>
      </c>
      <c r="D59" s="57"/>
      <c r="E59" s="219"/>
      <c r="F59" s="220"/>
      <c r="G59" s="51"/>
    </row>
    <row r="60" spans="1:7" s="52" customFormat="1" ht="15" thickBot="1" x14ac:dyDescent="0.35">
      <c r="A60" s="111" t="s">
        <v>29</v>
      </c>
      <c r="B60" s="84">
        <f>SUM(B52:B59)</f>
        <v>36</v>
      </c>
      <c r="C60" s="111" t="str">
        <f xml:space="preserve"> setValueToTime(B60)</f>
        <v>3h</v>
      </c>
      <c r="D60" s="120"/>
      <c r="E60" s="221"/>
      <c r="F60" s="222"/>
      <c r="G60" s="51"/>
    </row>
    <row r="61" spans="1:7" s="59" customFormat="1" ht="15" thickBot="1" x14ac:dyDescent="0.35">
      <c r="A61" s="79"/>
      <c r="B61" s="79"/>
      <c r="C61" s="79"/>
      <c r="D61" s="79"/>
      <c r="E61" s="79"/>
      <c r="F61" s="79"/>
      <c r="G61" s="58"/>
    </row>
    <row r="62" spans="1:7" s="47" customFormat="1" ht="30" customHeight="1" thickBot="1" x14ac:dyDescent="0.3">
      <c r="A62" s="81" t="s">
        <v>12</v>
      </c>
      <c r="B62" s="163">
        <v>3</v>
      </c>
      <c r="C62" s="163"/>
      <c r="D62" s="82" t="s">
        <v>15</v>
      </c>
      <c r="E62" s="94">
        <v>45534</v>
      </c>
      <c r="F62" s="126"/>
      <c r="G62" s="46"/>
    </row>
    <row r="63" spans="1:7" s="47" customFormat="1" ht="30" customHeight="1" thickBot="1" x14ac:dyDescent="0.3">
      <c r="A63" s="80" t="s">
        <v>5</v>
      </c>
      <c r="B63" s="150" t="s">
        <v>42</v>
      </c>
      <c r="C63" s="151"/>
      <c r="D63" s="80" t="s">
        <v>13</v>
      </c>
      <c r="E63" s="223" t="s">
        <v>14</v>
      </c>
      <c r="F63" s="224"/>
      <c r="G63" s="46"/>
    </row>
    <row r="64" spans="1:7" s="52" customFormat="1" x14ac:dyDescent="0.3">
      <c r="A64" s="48"/>
      <c r="B64" s="49"/>
      <c r="C64" s="152" t="str">
        <f xml:space="preserve"> IF(B64="","",setValueToTime(B64))</f>
        <v/>
      </c>
      <c r="D64" s="50"/>
      <c r="E64" s="225"/>
      <c r="F64" s="226"/>
      <c r="G64" s="51"/>
    </row>
    <row r="65" spans="1:7" s="52" customFormat="1" x14ac:dyDescent="0.3">
      <c r="A65" s="53" t="s">
        <v>17</v>
      </c>
      <c r="B65" s="54">
        <v>1</v>
      </c>
      <c r="C65" s="153" t="str">
        <f t="shared" ref="C65:C71" si="5" xml:space="preserve"> IF(B65="","",setValueToTime(B65))</f>
        <v>0h5min</v>
      </c>
      <c r="D65" s="55"/>
      <c r="E65" s="217"/>
      <c r="F65" s="218"/>
      <c r="G65" s="51"/>
    </row>
    <row r="66" spans="1:7" s="52" customFormat="1" x14ac:dyDescent="0.3">
      <c r="A66" s="53" t="s">
        <v>16</v>
      </c>
      <c r="B66" s="54">
        <v>3</v>
      </c>
      <c r="C66" s="153" t="str">
        <f t="shared" si="5"/>
        <v>0h15min</v>
      </c>
      <c r="D66" s="55"/>
      <c r="E66" s="217"/>
      <c r="F66" s="218"/>
      <c r="G66" s="51"/>
    </row>
    <row r="67" spans="1:7" s="52" customFormat="1" x14ac:dyDescent="0.3">
      <c r="A67" s="53" t="s">
        <v>52</v>
      </c>
      <c r="B67" s="54">
        <v>32</v>
      </c>
      <c r="C67" s="153" t="str">
        <f t="shared" si="5"/>
        <v>2h40min</v>
      </c>
      <c r="D67" s="55"/>
      <c r="E67" s="217"/>
      <c r="F67" s="218"/>
      <c r="G67" s="51"/>
    </row>
    <row r="68" spans="1:7" s="52" customFormat="1" x14ac:dyDescent="0.3">
      <c r="A68" s="54"/>
      <c r="B68" s="54"/>
      <c r="C68" s="154" t="str">
        <f t="shared" si="5"/>
        <v/>
      </c>
      <c r="D68" s="55"/>
      <c r="E68" s="217"/>
      <c r="F68" s="218"/>
      <c r="G68" s="51"/>
    </row>
    <row r="69" spans="1:7" s="52" customFormat="1" x14ac:dyDescent="0.3">
      <c r="A69" s="54"/>
      <c r="B69" s="54"/>
      <c r="C69" s="154" t="str">
        <f t="shared" si="5"/>
        <v/>
      </c>
      <c r="D69" s="55"/>
      <c r="E69" s="217"/>
      <c r="F69" s="218"/>
      <c r="G69" s="51"/>
    </row>
    <row r="70" spans="1:7" s="52" customFormat="1" x14ac:dyDescent="0.3">
      <c r="A70" s="54"/>
      <c r="B70" s="54"/>
      <c r="C70" s="154" t="str">
        <f t="shared" si="5"/>
        <v/>
      </c>
      <c r="D70" s="55"/>
      <c r="E70" s="217"/>
      <c r="F70" s="218"/>
      <c r="G70" s="51"/>
    </row>
    <row r="71" spans="1:7" s="52" customFormat="1" ht="15" thickBot="1" x14ac:dyDescent="0.35">
      <c r="A71" s="56"/>
      <c r="B71" s="56"/>
      <c r="C71" s="155" t="str">
        <f t="shared" si="5"/>
        <v/>
      </c>
      <c r="D71" s="57"/>
      <c r="E71" s="219"/>
      <c r="F71" s="220"/>
      <c r="G71" s="51"/>
    </row>
    <row r="72" spans="1:7" s="52" customFormat="1" ht="15" thickBot="1" x14ac:dyDescent="0.35">
      <c r="A72" s="111" t="s">
        <v>29</v>
      </c>
      <c r="B72" s="84">
        <f>SUM(B64:B71)</f>
        <v>36</v>
      </c>
      <c r="C72" s="111" t="str">
        <f xml:space="preserve"> setValueToTime(B72)</f>
        <v>3h</v>
      </c>
      <c r="D72" s="120"/>
      <c r="E72" s="221"/>
      <c r="F72" s="222"/>
      <c r="G72" s="51"/>
    </row>
    <row r="73" spans="1:7" s="59" customFormat="1" ht="15" thickBot="1" x14ac:dyDescent="0.35">
      <c r="A73" s="79"/>
      <c r="B73" s="79"/>
      <c r="C73" s="79"/>
      <c r="D73" s="79"/>
      <c r="E73" s="79"/>
      <c r="F73" s="79"/>
      <c r="G73" s="58"/>
    </row>
    <row r="74" spans="1:7" s="47" customFormat="1" ht="30" customHeight="1" thickBot="1" x14ac:dyDescent="0.3">
      <c r="A74" s="81" t="s">
        <v>12</v>
      </c>
      <c r="B74" s="163">
        <v>2</v>
      </c>
      <c r="C74" s="163"/>
      <c r="D74" s="82" t="s">
        <v>15</v>
      </c>
      <c r="E74" s="94">
        <v>45534</v>
      </c>
      <c r="F74" s="126"/>
      <c r="G74" s="46"/>
    </row>
    <row r="75" spans="1:7" s="47" customFormat="1" ht="30" customHeight="1" thickBot="1" x14ac:dyDescent="0.3">
      <c r="A75" s="80" t="s">
        <v>5</v>
      </c>
      <c r="B75" s="150" t="s">
        <v>42</v>
      </c>
      <c r="C75" s="151"/>
      <c r="D75" s="80" t="s">
        <v>13</v>
      </c>
      <c r="E75" s="223" t="s">
        <v>14</v>
      </c>
      <c r="F75" s="224"/>
      <c r="G75" s="46"/>
    </row>
    <row r="76" spans="1:7" s="52" customFormat="1" x14ac:dyDescent="0.3">
      <c r="A76" s="48"/>
      <c r="B76" s="49"/>
      <c r="C76" s="152" t="str">
        <f xml:space="preserve"> IF(B76="","",setValueToTime(B76))</f>
        <v/>
      </c>
      <c r="D76" s="50"/>
      <c r="E76" s="225"/>
      <c r="F76" s="226"/>
      <c r="G76" s="51"/>
    </row>
    <row r="77" spans="1:7" s="52" customFormat="1" x14ac:dyDescent="0.3">
      <c r="A77" s="53" t="s">
        <v>17</v>
      </c>
      <c r="B77" s="54">
        <v>1</v>
      </c>
      <c r="C77" s="153" t="str">
        <f t="shared" ref="C77:C83" si="6" xml:space="preserve"> IF(B77="","",setValueToTime(B77))</f>
        <v>0h5min</v>
      </c>
      <c r="D77" s="55"/>
      <c r="E77" s="217"/>
      <c r="F77" s="218"/>
      <c r="G77" s="51"/>
    </row>
    <row r="78" spans="1:7" s="52" customFormat="1" x14ac:dyDescent="0.3">
      <c r="A78" s="53" t="s">
        <v>16</v>
      </c>
      <c r="B78" s="54">
        <v>3</v>
      </c>
      <c r="C78" s="153" t="str">
        <f t="shared" si="6"/>
        <v>0h15min</v>
      </c>
      <c r="D78" s="55"/>
      <c r="E78" s="217"/>
      <c r="F78" s="218"/>
      <c r="G78" s="51"/>
    </row>
    <row r="79" spans="1:7" s="52" customFormat="1" x14ac:dyDescent="0.3">
      <c r="A79" s="53" t="s">
        <v>52</v>
      </c>
      <c r="B79" s="54">
        <v>32</v>
      </c>
      <c r="C79" s="153" t="str">
        <f t="shared" si="6"/>
        <v>2h40min</v>
      </c>
      <c r="D79" s="55"/>
      <c r="E79" s="217"/>
      <c r="F79" s="218"/>
      <c r="G79" s="51"/>
    </row>
    <row r="80" spans="1:7" s="52" customFormat="1" x14ac:dyDescent="0.3">
      <c r="A80" s="54"/>
      <c r="B80" s="54"/>
      <c r="C80" s="154" t="str">
        <f t="shared" si="6"/>
        <v/>
      </c>
      <c r="D80" s="55"/>
      <c r="E80" s="217"/>
      <c r="F80" s="218"/>
      <c r="G80" s="51"/>
    </row>
    <row r="81" spans="1:7" s="52" customFormat="1" x14ac:dyDescent="0.3">
      <c r="A81" s="54"/>
      <c r="B81" s="54"/>
      <c r="C81" s="154" t="str">
        <f t="shared" si="6"/>
        <v/>
      </c>
      <c r="D81" s="55"/>
      <c r="E81" s="217"/>
      <c r="F81" s="218"/>
      <c r="G81" s="51"/>
    </row>
    <row r="82" spans="1:7" s="52" customFormat="1" x14ac:dyDescent="0.3">
      <c r="A82" s="54"/>
      <c r="B82" s="54"/>
      <c r="C82" s="154" t="str">
        <f t="shared" si="6"/>
        <v/>
      </c>
      <c r="D82" s="55"/>
      <c r="E82" s="217"/>
      <c r="F82" s="218"/>
      <c r="G82" s="51"/>
    </row>
    <row r="83" spans="1:7" s="52" customFormat="1" ht="15" thickBot="1" x14ac:dyDescent="0.35">
      <c r="A83" s="56"/>
      <c r="B83" s="56"/>
      <c r="C83" s="155" t="str">
        <f t="shared" si="6"/>
        <v/>
      </c>
      <c r="D83" s="57"/>
      <c r="E83" s="219"/>
      <c r="F83" s="220"/>
      <c r="G83" s="51"/>
    </row>
    <row r="84" spans="1:7" s="52" customFormat="1" ht="15" thickBot="1" x14ac:dyDescent="0.35">
      <c r="A84" s="111" t="s">
        <v>29</v>
      </c>
      <c r="B84" s="84">
        <f>SUM(B76:B83)</f>
        <v>36</v>
      </c>
      <c r="C84" s="111" t="str">
        <f xml:space="preserve"> setValueToTime(B84)</f>
        <v>3h</v>
      </c>
      <c r="D84" s="120"/>
      <c r="E84" s="221"/>
      <c r="F84" s="222"/>
      <c r="G84" s="51"/>
    </row>
    <row r="85" spans="1:7" s="59" customFormat="1" ht="15" thickBot="1" x14ac:dyDescent="0.35">
      <c r="A85" s="79"/>
      <c r="B85" s="79"/>
      <c r="C85" s="79"/>
      <c r="D85" s="79"/>
      <c r="E85" s="79"/>
      <c r="F85" s="79"/>
      <c r="G85" s="58"/>
    </row>
    <row r="86" spans="1:7" s="47" customFormat="1" ht="30" customHeight="1" thickBot="1" x14ac:dyDescent="0.3">
      <c r="A86" s="81" t="s">
        <v>12</v>
      </c>
      <c r="B86" s="163">
        <v>1</v>
      </c>
      <c r="C86" s="163"/>
      <c r="D86" s="82" t="s">
        <v>15</v>
      </c>
      <c r="E86" s="94">
        <v>45532</v>
      </c>
      <c r="F86" s="126"/>
      <c r="G86" s="46"/>
    </row>
    <row r="87" spans="1:7" s="47" customFormat="1" ht="30" customHeight="1" thickBot="1" x14ac:dyDescent="0.3">
      <c r="A87" s="80" t="s">
        <v>5</v>
      </c>
      <c r="B87" s="150" t="s">
        <v>42</v>
      </c>
      <c r="C87" s="151"/>
      <c r="D87" s="80" t="s">
        <v>13</v>
      </c>
      <c r="E87" s="223" t="s">
        <v>14</v>
      </c>
      <c r="F87" s="224"/>
      <c r="G87" s="46"/>
    </row>
    <row r="88" spans="1:7" s="52" customFormat="1" x14ac:dyDescent="0.3">
      <c r="A88" s="48" t="s">
        <v>32</v>
      </c>
      <c r="B88" s="49">
        <v>9</v>
      </c>
      <c r="C88" s="152" t="str">
        <f xml:space="preserve"> IF(B88="","",setValueToTime(B88))</f>
        <v>0h45min</v>
      </c>
      <c r="D88" s="50" t="s">
        <v>48</v>
      </c>
      <c r="E88" s="225"/>
      <c r="F88" s="226"/>
      <c r="G88" s="51"/>
    </row>
    <row r="89" spans="1:7" s="52" customFormat="1" x14ac:dyDescent="0.3">
      <c r="A89" s="53" t="s">
        <v>47</v>
      </c>
      <c r="B89" s="54">
        <v>9</v>
      </c>
      <c r="C89" s="153" t="str">
        <f t="shared" ref="C89:C95" si="7" xml:space="preserve"> IF(B89="","",setValueToTime(B89))</f>
        <v>0h45min</v>
      </c>
      <c r="D89" s="55" t="s">
        <v>49</v>
      </c>
      <c r="E89" s="217"/>
      <c r="F89" s="218"/>
      <c r="G89" s="51"/>
    </row>
    <row r="90" spans="1:7" s="52" customFormat="1" x14ac:dyDescent="0.3">
      <c r="A90" s="53"/>
      <c r="B90" s="54"/>
      <c r="C90" s="153" t="str">
        <f t="shared" si="7"/>
        <v/>
      </c>
      <c r="D90" s="55"/>
      <c r="E90" s="217"/>
      <c r="F90" s="218"/>
      <c r="G90" s="51"/>
    </row>
    <row r="91" spans="1:7" s="52" customFormat="1" x14ac:dyDescent="0.3">
      <c r="A91" s="53"/>
      <c r="B91" s="54"/>
      <c r="C91" s="153" t="str">
        <f t="shared" si="7"/>
        <v/>
      </c>
      <c r="D91" s="55"/>
      <c r="E91" s="217"/>
      <c r="F91" s="218"/>
      <c r="G91" s="51"/>
    </row>
    <row r="92" spans="1:7" s="52" customFormat="1" x14ac:dyDescent="0.3">
      <c r="A92" s="54"/>
      <c r="B92" s="54"/>
      <c r="C92" s="154" t="str">
        <f t="shared" si="7"/>
        <v/>
      </c>
      <c r="D92" s="55"/>
      <c r="E92" s="217"/>
      <c r="F92" s="218"/>
      <c r="G92" s="51"/>
    </row>
    <row r="93" spans="1:7" s="52" customFormat="1" x14ac:dyDescent="0.3">
      <c r="A93" s="54"/>
      <c r="B93" s="54"/>
      <c r="C93" s="154" t="str">
        <f t="shared" si="7"/>
        <v/>
      </c>
      <c r="D93" s="55"/>
      <c r="E93" s="217"/>
      <c r="F93" s="218"/>
      <c r="G93" s="51"/>
    </row>
    <row r="94" spans="1:7" s="52" customFormat="1" x14ac:dyDescent="0.3">
      <c r="A94" s="54"/>
      <c r="B94" s="54"/>
      <c r="C94" s="154" t="str">
        <f t="shared" si="7"/>
        <v/>
      </c>
      <c r="D94" s="55"/>
      <c r="E94" s="217"/>
      <c r="F94" s="218"/>
      <c r="G94" s="51"/>
    </row>
    <row r="95" spans="1:7" s="52" customFormat="1" ht="15" thickBot="1" x14ac:dyDescent="0.35">
      <c r="A95" s="56"/>
      <c r="B95" s="56"/>
      <c r="C95" s="155" t="str">
        <f t="shared" si="7"/>
        <v/>
      </c>
      <c r="D95" s="57"/>
      <c r="E95" s="219"/>
      <c r="F95" s="220"/>
      <c r="G95" s="51"/>
    </row>
    <row r="96" spans="1:7" s="52" customFormat="1" ht="15" thickBot="1" x14ac:dyDescent="0.35">
      <c r="A96" s="111" t="s">
        <v>29</v>
      </c>
      <c r="B96" s="84">
        <f>SUM(B88:B95)</f>
        <v>18</v>
      </c>
      <c r="C96" s="111" t="str">
        <f xml:space="preserve"> setValueToTime(B96)</f>
        <v>1h30min</v>
      </c>
      <c r="D96" s="120"/>
      <c r="E96" s="221"/>
      <c r="F96" s="222"/>
      <c r="G96" s="51"/>
    </row>
    <row r="97" spans="1:7" s="59" customFormat="1" x14ac:dyDescent="0.3">
      <c r="A97" s="79"/>
      <c r="B97" s="79"/>
      <c r="C97" s="79"/>
      <c r="D97" s="79"/>
      <c r="E97" s="79"/>
      <c r="F97" s="79"/>
      <c r="G97" s="58"/>
    </row>
  </sheetData>
  <sheetProtection formatRows="0" insertRows="0" insertHyperlinks="0" deleteRows="0" selectLockedCells="1"/>
  <mergeCells count="8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3:F93"/>
    <mergeCell ref="E94:F94"/>
    <mergeCell ref="E95:F95"/>
    <mergeCell ref="E96:F96"/>
    <mergeCell ref="E87:F87"/>
    <mergeCell ref="E88:F88"/>
    <mergeCell ref="E89:F89"/>
    <mergeCell ref="E90:F90"/>
    <mergeCell ref="E91:F91"/>
    <mergeCell ref="E92:F92"/>
  </mergeCells>
  <phoneticPr fontId="0" type="noConversion"/>
  <conditionalFormatting sqref="B96">
    <cfRule type="cellIs" dxfId="16" priority="8" operator="greaterThan">
      <formula>60</formula>
    </cfRule>
  </conditionalFormatting>
  <conditionalFormatting sqref="B84">
    <cfRule type="cellIs" dxfId="15" priority="7" operator="greaterThan">
      <formula>60</formula>
    </cfRule>
  </conditionalFormatting>
  <conditionalFormatting sqref="B72">
    <cfRule type="cellIs" dxfId="14" priority="6" operator="greaterThan">
      <formula>60</formula>
    </cfRule>
  </conditionalFormatting>
  <conditionalFormatting sqref="B60">
    <cfRule type="cellIs" dxfId="13" priority="5" operator="greaterThan">
      <formula>60</formula>
    </cfRule>
  </conditionalFormatting>
  <conditionalFormatting sqref="B48">
    <cfRule type="cellIs" dxfId="12" priority="4" operator="greaterThan">
      <formula>60</formula>
    </cfRule>
  </conditionalFormatting>
  <conditionalFormatting sqref="B36">
    <cfRule type="cellIs" dxfId="11" priority="3" operator="greaterThan">
      <formula>60</formula>
    </cfRule>
  </conditionalFormatting>
  <conditionalFormatting sqref="B24">
    <cfRule type="cellIs" dxfId="10" priority="2" operator="greaterThan">
      <formula>60</formula>
    </cfRule>
  </conditionalFormatting>
  <conditionalFormatting sqref="B12">
    <cfRule type="cellIs" dxfId="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xr:uid="{8884C1D3-9182-4A2A-814C-0B2D594D1686}">
      <formula1>0</formula1>
      <formula2>60</formula2>
    </dataValidation>
    <dataValidation type="whole" operator="greaterThan" allowBlank="1" showInputMessage="1" showErrorMessage="1" errorTitle="Durée par tranche de 10min" error="Le nombre doit être de type entier" sqref="B88:B95 B76:B83 B64:B71 B52:B59 B16:B23 B40:B47 B28:B35 B4:B11" xr:uid="{362C7519-D1B7-4501-AE35-53B15E33CEF9}">
      <formula1>0</formula1>
    </dataValidation>
    <dataValidation type="list" allowBlank="1" showInputMessage="1" showErrorMessage="1" sqref="A88:A95 A76:A83 A64:A71 A52:A59 A16:A23 A40:A47 A28:A35 A4:A11" xr:uid="{0F32A79B-0E84-486F-8299-279272EA8F47}">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85"/>
  <sheetViews>
    <sheetView showGridLines="0" tabSelected="1"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8.5703125" style="60" customWidth="1"/>
    <col min="2" max="2" width="8.42578125" style="60" customWidth="1"/>
    <col min="3" max="3" width="8.7109375" style="60" customWidth="1"/>
    <col min="4" max="4" width="91" style="60" customWidth="1"/>
    <col min="5" max="5" width="39.425781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7</v>
      </c>
      <c r="C2" s="164"/>
      <c r="D2" s="157" t="s">
        <v>15</v>
      </c>
      <c r="E2" s="158" t="s">
        <v>54</v>
      </c>
      <c r="F2" s="159"/>
      <c r="G2" s="46"/>
    </row>
    <row r="3" spans="1:7" s="47" customFormat="1" ht="30" customHeight="1" thickBot="1" x14ac:dyDescent="0.3">
      <c r="A3" s="78" t="s">
        <v>5</v>
      </c>
      <c r="B3" s="161" t="s">
        <v>42</v>
      </c>
      <c r="C3" s="160"/>
      <c r="D3" s="78" t="s">
        <v>13</v>
      </c>
      <c r="E3" s="229" t="s">
        <v>14</v>
      </c>
      <c r="F3" s="230"/>
      <c r="G3" s="46"/>
    </row>
    <row r="4" spans="1:7" s="52" customFormat="1" ht="27" x14ac:dyDescent="0.3">
      <c r="A4" s="48" t="s">
        <v>52</v>
      </c>
      <c r="B4" s="49">
        <v>31</v>
      </c>
      <c r="C4" s="152" t="str">
        <f xml:space="preserve"> IF(B4="","",setValueToTime(B4))</f>
        <v>2h35min</v>
      </c>
      <c r="D4" s="50" t="s">
        <v>71</v>
      </c>
      <c r="E4" s="225"/>
      <c r="F4" s="226"/>
      <c r="G4" s="51"/>
    </row>
    <row r="5" spans="1:7" s="52" customFormat="1" x14ac:dyDescent="0.3">
      <c r="A5" s="53" t="s">
        <v>50</v>
      </c>
      <c r="B5" s="54">
        <v>5</v>
      </c>
      <c r="C5" s="153" t="str">
        <f t="shared" ref="C5:C11" si="0" xml:space="preserve"> IF(B5="","",setValueToTime(B5))</f>
        <v>0h25min</v>
      </c>
      <c r="D5" s="55"/>
      <c r="E5" s="217"/>
      <c r="F5" s="218"/>
      <c r="G5" s="51"/>
    </row>
    <row r="6" spans="1:7" s="52" customFormat="1" x14ac:dyDescent="0.3">
      <c r="A6" s="53" t="s">
        <v>16</v>
      </c>
      <c r="B6" s="54">
        <v>1</v>
      </c>
      <c r="C6" s="153" t="str">
        <f t="shared" si="0"/>
        <v>0h5min</v>
      </c>
      <c r="D6" s="55"/>
      <c r="E6" s="217"/>
      <c r="F6" s="218"/>
      <c r="G6" s="51"/>
    </row>
    <row r="7" spans="1:7" s="52" customFormat="1" x14ac:dyDescent="0.3">
      <c r="A7" s="53"/>
      <c r="B7" s="54"/>
      <c r="C7" s="153" t="str">
        <f t="shared" si="0"/>
        <v/>
      </c>
      <c r="D7" s="55"/>
      <c r="E7" s="217"/>
      <c r="F7" s="218"/>
      <c r="G7" s="51"/>
    </row>
    <row r="8" spans="1:7" s="52" customFormat="1" x14ac:dyDescent="0.3">
      <c r="A8" s="54"/>
      <c r="B8" s="54"/>
      <c r="C8" s="154" t="str">
        <f t="shared" si="0"/>
        <v/>
      </c>
      <c r="D8" s="55"/>
      <c r="E8" s="217"/>
      <c r="F8" s="218"/>
      <c r="G8" s="51"/>
    </row>
    <row r="9" spans="1:7" s="52" customFormat="1" x14ac:dyDescent="0.3">
      <c r="A9" s="54"/>
      <c r="B9" s="54"/>
      <c r="C9" s="154" t="str">
        <f t="shared" si="0"/>
        <v/>
      </c>
      <c r="D9" s="55"/>
      <c r="E9" s="217"/>
      <c r="F9" s="218"/>
      <c r="G9" s="51"/>
    </row>
    <row r="10" spans="1:7" s="52" customFormat="1" x14ac:dyDescent="0.3">
      <c r="A10" s="54"/>
      <c r="B10" s="54"/>
      <c r="C10" s="154" t="str">
        <f t="shared" si="0"/>
        <v/>
      </c>
      <c r="D10" s="55"/>
      <c r="E10" s="217"/>
      <c r="F10" s="218"/>
      <c r="G10" s="51"/>
    </row>
    <row r="11" spans="1:7" s="52" customFormat="1" ht="15" thickBot="1" x14ac:dyDescent="0.35">
      <c r="A11" s="56"/>
      <c r="B11" s="56"/>
      <c r="C11" s="155" t="str">
        <f t="shared" si="0"/>
        <v/>
      </c>
      <c r="D11" s="57"/>
      <c r="E11" s="219"/>
      <c r="F11" s="220"/>
      <c r="G11" s="51"/>
    </row>
    <row r="12" spans="1:7" s="52" customFormat="1" ht="15" thickBot="1" x14ac:dyDescent="0.35">
      <c r="A12" s="162" t="s">
        <v>29</v>
      </c>
      <c r="B12" s="83">
        <f>SUM(B4:B11)</f>
        <v>37</v>
      </c>
      <c r="C12" s="162" t="str">
        <f xml:space="preserve"> setValueToTime(B12)</f>
        <v>3h5min</v>
      </c>
      <c r="D12" s="121"/>
      <c r="E12" s="227"/>
      <c r="F12" s="228"/>
      <c r="G12" s="51"/>
    </row>
    <row r="13" spans="1:7" s="59" customFormat="1" ht="15" thickBot="1" x14ac:dyDescent="0.35">
      <c r="A13" s="77"/>
      <c r="B13" s="77"/>
      <c r="C13" s="77"/>
      <c r="D13" s="77"/>
      <c r="E13" s="77"/>
      <c r="F13" s="77"/>
      <c r="G13" s="58"/>
    </row>
    <row r="14" spans="1:7" s="47" customFormat="1" ht="30" customHeight="1" thickBot="1" x14ac:dyDescent="0.3">
      <c r="A14" s="156" t="s">
        <v>12</v>
      </c>
      <c r="B14" s="164">
        <v>6</v>
      </c>
      <c r="C14" s="164"/>
      <c r="D14" s="157" t="s">
        <v>15</v>
      </c>
      <c r="E14" s="158" t="s">
        <v>54</v>
      </c>
      <c r="F14" s="159"/>
      <c r="G14" s="46"/>
    </row>
    <row r="15" spans="1:7" s="47" customFormat="1" ht="30" customHeight="1" thickBot="1" x14ac:dyDescent="0.3">
      <c r="A15" s="78" t="s">
        <v>5</v>
      </c>
      <c r="B15" s="161" t="s">
        <v>42</v>
      </c>
      <c r="C15" s="160"/>
      <c r="D15" s="78" t="s">
        <v>13</v>
      </c>
      <c r="E15" s="229" t="s">
        <v>14</v>
      </c>
      <c r="F15" s="230"/>
      <c r="G15" s="46"/>
    </row>
    <row r="16" spans="1:7" s="52" customFormat="1" ht="40.5" x14ac:dyDescent="0.3">
      <c r="A16" s="48" t="s">
        <v>52</v>
      </c>
      <c r="B16" s="49">
        <v>36</v>
      </c>
      <c r="C16" s="152" t="str">
        <f xml:space="preserve"> IF(B16="","",setValueToTime(B16))</f>
        <v>3h</v>
      </c>
      <c r="D16" s="50" t="s">
        <v>70</v>
      </c>
      <c r="E16" s="225"/>
      <c r="F16" s="226"/>
      <c r="G16" s="51"/>
    </row>
    <row r="17" spans="1:7" s="52" customFormat="1" x14ac:dyDescent="0.3">
      <c r="A17" s="53" t="s">
        <v>17</v>
      </c>
      <c r="B17" s="54">
        <v>1</v>
      </c>
      <c r="C17" s="153" t="str">
        <f t="shared" ref="C17:C23" si="1" xml:space="preserve"> IF(B17="","",setValueToTime(B17))</f>
        <v>0h5min</v>
      </c>
      <c r="D17" s="55"/>
      <c r="E17" s="217"/>
      <c r="F17" s="218"/>
      <c r="G17" s="51"/>
    </row>
    <row r="18" spans="1:7" s="52" customFormat="1" x14ac:dyDescent="0.3">
      <c r="A18" s="53"/>
      <c r="B18" s="54"/>
      <c r="C18" s="153" t="str">
        <f t="shared" si="1"/>
        <v/>
      </c>
      <c r="D18" s="55"/>
      <c r="E18" s="217"/>
      <c r="F18" s="218"/>
      <c r="G18" s="51"/>
    </row>
    <row r="19" spans="1:7" s="52" customFormat="1" x14ac:dyDescent="0.3">
      <c r="A19" s="53"/>
      <c r="B19" s="54"/>
      <c r="C19" s="153" t="str">
        <f t="shared" si="1"/>
        <v/>
      </c>
      <c r="D19" s="55"/>
      <c r="E19" s="217"/>
      <c r="F19" s="218"/>
      <c r="G19" s="51"/>
    </row>
    <row r="20" spans="1:7" s="52" customFormat="1" x14ac:dyDescent="0.3">
      <c r="A20" s="54"/>
      <c r="B20" s="54"/>
      <c r="C20" s="154" t="str">
        <f t="shared" si="1"/>
        <v/>
      </c>
      <c r="D20" s="55"/>
      <c r="E20" s="217"/>
      <c r="F20" s="218"/>
      <c r="G20" s="51"/>
    </row>
    <row r="21" spans="1:7" s="52" customFormat="1" x14ac:dyDescent="0.3">
      <c r="A21" s="54"/>
      <c r="B21" s="54"/>
      <c r="C21" s="154" t="str">
        <f t="shared" si="1"/>
        <v/>
      </c>
      <c r="D21" s="55"/>
      <c r="E21" s="217"/>
      <c r="F21" s="218"/>
      <c r="G21" s="51"/>
    </row>
    <row r="22" spans="1:7" s="52" customFormat="1" x14ac:dyDescent="0.3">
      <c r="A22" s="54"/>
      <c r="B22" s="54"/>
      <c r="C22" s="154" t="str">
        <f t="shared" si="1"/>
        <v/>
      </c>
      <c r="D22" s="55"/>
      <c r="E22" s="217"/>
      <c r="F22" s="218"/>
      <c r="G22" s="51"/>
    </row>
    <row r="23" spans="1:7" s="52" customFormat="1" ht="15" thickBot="1" x14ac:dyDescent="0.35">
      <c r="A23" s="56"/>
      <c r="B23" s="56"/>
      <c r="C23" s="155" t="str">
        <f t="shared" si="1"/>
        <v/>
      </c>
      <c r="D23" s="57"/>
      <c r="E23" s="219"/>
      <c r="F23" s="220"/>
      <c r="G23" s="51"/>
    </row>
    <row r="24" spans="1:7" s="52" customFormat="1" ht="15" thickBot="1" x14ac:dyDescent="0.35">
      <c r="A24" s="162" t="s">
        <v>29</v>
      </c>
      <c r="B24" s="83">
        <f>SUM(B16:B23)</f>
        <v>37</v>
      </c>
      <c r="C24" s="162" t="str">
        <f xml:space="preserve"> setValueToTime(B24)</f>
        <v>3h5min</v>
      </c>
      <c r="D24" s="121"/>
      <c r="E24" s="227"/>
      <c r="F24" s="228"/>
      <c r="G24" s="51"/>
    </row>
    <row r="25" spans="1:7" s="59" customFormat="1" ht="15" thickBot="1" x14ac:dyDescent="0.35">
      <c r="A25" s="77"/>
      <c r="B25" s="77"/>
      <c r="C25" s="77"/>
      <c r="D25" s="77"/>
      <c r="E25" s="77"/>
      <c r="F25" s="77"/>
      <c r="G25" s="58"/>
    </row>
    <row r="26" spans="1:7" s="47" customFormat="1" ht="30" customHeight="1" thickBot="1" x14ac:dyDescent="0.3">
      <c r="A26" s="156" t="s">
        <v>12</v>
      </c>
      <c r="B26" s="164">
        <v>5</v>
      </c>
      <c r="C26" s="164"/>
      <c r="D26" s="157" t="s">
        <v>15</v>
      </c>
      <c r="E26" s="158" t="s">
        <v>54</v>
      </c>
      <c r="F26" s="159"/>
      <c r="G26" s="46"/>
    </row>
    <row r="27" spans="1:7" s="47" customFormat="1" ht="30" customHeight="1" thickBot="1" x14ac:dyDescent="0.3">
      <c r="A27" s="78" t="s">
        <v>5</v>
      </c>
      <c r="B27" s="161" t="s">
        <v>42</v>
      </c>
      <c r="C27" s="160"/>
      <c r="D27" s="78" t="s">
        <v>13</v>
      </c>
      <c r="E27" s="229" t="s">
        <v>14</v>
      </c>
      <c r="F27" s="230"/>
      <c r="G27" s="46"/>
    </row>
    <row r="28" spans="1:7" s="52" customFormat="1" ht="27" x14ac:dyDescent="0.3">
      <c r="A28" s="48" t="s">
        <v>52</v>
      </c>
      <c r="B28" s="49">
        <v>35</v>
      </c>
      <c r="C28" s="152" t="str">
        <f xml:space="preserve"> IF(B28="","",setValueToTime(B28))</f>
        <v>2h55min</v>
      </c>
      <c r="D28" s="50" t="s">
        <v>67</v>
      </c>
      <c r="E28" s="225"/>
      <c r="F28" s="226"/>
      <c r="G28" s="51"/>
    </row>
    <row r="29" spans="1:7" s="52" customFormat="1" x14ac:dyDescent="0.3">
      <c r="A29" s="53" t="s">
        <v>17</v>
      </c>
      <c r="B29" s="54">
        <v>1</v>
      </c>
      <c r="C29" s="153" t="str">
        <f t="shared" ref="C29:C35" si="2" xml:space="preserve"> IF(B29="","",setValueToTime(B29))</f>
        <v>0h5min</v>
      </c>
      <c r="D29" s="55"/>
      <c r="E29" s="217"/>
      <c r="F29" s="218"/>
      <c r="G29" s="51"/>
    </row>
    <row r="30" spans="1:7" s="52" customFormat="1" x14ac:dyDescent="0.3">
      <c r="A30" s="53" t="s">
        <v>16</v>
      </c>
      <c r="B30" s="54">
        <v>1</v>
      </c>
      <c r="C30" s="153" t="str">
        <f t="shared" si="2"/>
        <v>0h5min</v>
      </c>
      <c r="D30" s="55"/>
      <c r="E30" s="217"/>
      <c r="F30" s="218"/>
      <c r="G30" s="51"/>
    </row>
    <row r="31" spans="1:7" s="52" customFormat="1" x14ac:dyDescent="0.3">
      <c r="A31" s="53"/>
      <c r="B31" s="54"/>
      <c r="C31" s="153" t="str">
        <f t="shared" si="2"/>
        <v/>
      </c>
      <c r="D31" s="55"/>
      <c r="E31" s="217"/>
      <c r="F31" s="218"/>
      <c r="G31" s="51"/>
    </row>
    <row r="32" spans="1:7" s="52" customFormat="1" x14ac:dyDescent="0.3">
      <c r="A32" s="54"/>
      <c r="B32" s="54"/>
      <c r="C32" s="154" t="str">
        <f t="shared" si="2"/>
        <v/>
      </c>
      <c r="D32" s="55"/>
      <c r="E32" s="217"/>
      <c r="F32" s="218"/>
      <c r="G32" s="51"/>
    </row>
    <row r="33" spans="1:7" s="52" customFormat="1" x14ac:dyDescent="0.3">
      <c r="A33" s="54"/>
      <c r="B33" s="54"/>
      <c r="C33" s="154" t="str">
        <f t="shared" si="2"/>
        <v/>
      </c>
      <c r="D33" s="55"/>
      <c r="E33" s="217"/>
      <c r="F33" s="218"/>
      <c r="G33" s="51"/>
    </row>
    <row r="34" spans="1:7" s="52" customFormat="1" x14ac:dyDescent="0.3">
      <c r="A34" s="54"/>
      <c r="B34" s="54"/>
      <c r="C34" s="154" t="str">
        <f t="shared" si="2"/>
        <v/>
      </c>
      <c r="D34" s="55"/>
      <c r="E34" s="217"/>
      <c r="F34" s="218"/>
      <c r="G34" s="51"/>
    </row>
    <row r="35" spans="1:7" s="52" customFormat="1" ht="15" thickBot="1" x14ac:dyDescent="0.35">
      <c r="A35" s="56"/>
      <c r="B35" s="56"/>
      <c r="C35" s="155" t="str">
        <f t="shared" si="2"/>
        <v/>
      </c>
      <c r="D35" s="57"/>
      <c r="E35" s="219"/>
      <c r="F35" s="220"/>
      <c r="G35" s="51"/>
    </row>
    <row r="36" spans="1:7" s="52" customFormat="1" ht="15" thickBot="1" x14ac:dyDescent="0.35">
      <c r="A36" s="162" t="s">
        <v>29</v>
      </c>
      <c r="B36" s="83">
        <f>SUM(B28:B35)</f>
        <v>37</v>
      </c>
      <c r="C36" s="162" t="str">
        <f xml:space="preserve"> setValueToTime(B36)</f>
        <v>3h5min</v>
      </c>
      <c r="D36" s="121"/>
      <c r="E36" s="227"/>
      <c r="F36" s="228"/>
      <c r="G36" s="51"/>
    </row>
    <row r="37" spans="1:7" s="59" customFormat="1" ht="15" thickBot="1" x14ac:dyDescent="0.35">
      <c r="A37" s="77"/>
      <c r="B37" s="77"/>
      <c r="C37" s="77"/>
      <c r="D37" s="77"/>
      <c r="E37" s="77"/>
      <c r="F37" s="77"/>
      <c r="G37" s="58"/>
    </row>
    <row r="38" spans="1:7" s="47" customFormat="1" ht="30" customHeight="1" thickBot="1" x14ac:dyDescent="0.3">
      <c r="A38" s="156" t="s">
        <v>12</v>
      </c>
      <c r="B38" s="164">
        <v>4</v>
      </c>
      <c r="C38" s="164"/>
      <c r="D38" s="157" t="s">
        <v>15</v>
      </c>
      <c r="E38" s="158" t="s">
        <v>54</v>
      </c>
      <c r="F38" s="159"/>
      <c r="G38" s="46"/>
    </row>
    <row r="39" spans="1:7" s="47" customFormat="1" ht="30" customHeight="1" thickBot="1" x14ac:dyDescent="0.3">
      <c r="A39" s="78" t="s">
        <v>5</v>
      </c>
      <c r="B39" s="161" t="s">
        <v>42</v>
      </c>
      <c r="C39" s="160"/>
      <c r="D39" s="78" t="s">
        <v>13</v>
      </c>
      <c r="E39" s="229" t="s">
        <v>14</v>
      </c>
      <c r="F39" s="230"/>
      <c r="G39" s="46"/>
    </row>
    <row r="40" spans="1:7" s="52" customFormat="1" ht="27" x14ac:dyDescent="0.3">
      <c r="A40" s="48" t="s">
        <v>52</v>
      </c>
      <c r="B40" s="49">
        <v>35</v>
      </c>
      <c r="C40" s="152" t="str">
        <f xml:space="preserve"> IF(B40="","",setValueToTime(B40))</f>
        <v>2h55min</v>
      </c>
      <c r="D40" s="50" t="s">
        <v>63</v>
      </c>
      <c r="E40" s="225"/>
      <c r="F40" s="226"/>
      <c r="G40" s="51"/>
    </row>
    <row r="41" spans="1:7" s="52" customFormat="1" x14ac:dyDescent="0.3">
      <c r="A41" s="53" t="s">
        <v>17</v>
      </c>
      <c r="B41" s="54">
        <v>1</v>
      </c>
      <c r="C41" s="153" t="str">
        <f t="shared" ref="C41:C47" si="3" xml:space="preserve"> IF(B41="","",setValueToTime(B41))</f>
        <v>0h5min</v>
      </c>
      <c r="D41" s="55"/>
      <c r="E41" s="217"/>
      <c r="F41" s="218"/>
      <c r="G41" s="51"/>
    </row>
    <row r="42" spans="1:7" s="52" customFormat="1" x14ac:dyDescent="0.3">
      <c r="A42" s="53"/>
      <c r="B42" s="54"/>
      <c r="C42" s="153" t="str">
        <f t="shared" si="3"/>
        <v/>
      </c>
      <c r="D42" s="55"/>
      <c r="E42" s="217"/>
      <c r="F42" s="218"/>
      <c r="G42" s="51"/>
    </row>
    <row r="43" spans="1:7" s="52" customFormat="1" x14ac:dyDescent="0.3">
      <c r="A43" s="53"/>
      <c r="B43" s="54"/>
      <c r="C43" s="153" t="str">
        <f t="shared" si="3"/>
        <v/>
      </c>
      <c r="D43" s="55"/>
      <c r="E43" s="217"/>
      <c r="F43" s="218"/>
      <c r="G43" s="51"/>
    </row>
    <row r="44" spans="1:7" s="52" customFormat="1" x14ac:dyDescent="0.3">
      <c r="A44" s="54"/>
      <c r="B44" s="54"/>
      <c r="C44" s="154" t="str">
        <f t="shared" si="3"/>
        <v/>
      </c>
      <c r="D44" s="55"/>
      <c r="E44" s="217"/>
      <c r="F44" s="218"/>
      <c r="G44" s="51"/>
    </row>
    <row r="45" spans="1:7" s="52" customFormat="1" x14ac:dyDescent="0.3">
      <c r="A45" s="54"/>
      <c r="B45" s="54"/>
      <c r="C45" s="154" t="str">
        <f t="shared" si="3"/>
        <v/>
      </c>
      <c r="D45" s="55"/>
      <c r="E45" s="217"/>
      <c r="F45" s="218"/>
      <c r="G45" s="51"/>
    </row>
    <row r="46" spans="1:7" s="52" customFormat="1" x14ac:dyDescent="0.3">
      <c r="A46" s="54"/>
      <c r="B46" s="54"/>
      <c r="C46" s="154" t="str">
        <f t="shared" si="3"/>
        <v/>
      </c>
      <c r="D46" s="55"/>
      <c r="E46" s="217"/>
      <c r="F46" s="218"/>
      <c r="G46" s="51"/>
    </row>
    <row r="47" spans="1:7" s="52" customFormat="1" ht="15" thickBot="1" x14ac:dyDescent="0.35">
      <c r="A47" s="56"/>
      <c r="B47" s="56"/>
      <c r="C47" s="155" t="str">
        <f t="shared" si="3"/>
        <v/>
      </c>
      <c r="D47" s="57"/>
      <c r="E47" s="219"/>
      <c r="F47" s="220"/>
      <c r="G47" s="51"/>
    </row>
    <row r="48" spans="1:7" s="52" customFormat="1" ht="15" thickBot="1" x14ac:dyDescent="0.35">
      <c r="A48" s="162" t="s">
        <v>29</v>
      </c>
      <c r="B48" s="83">
        <f>SUM(B40:B47)</f>
        <v>36</v>
      </c>
      <c r="C48" s="162" t="str">
        <f xml:space="preserve"> setValueToTime(B48)</f>
        <v>3h</v>
      </c>
      <c r="D48" s="121"/>
      <c r="E48" s="227"/>
      <c r="F48" s="228"/>
      <c r="G48" s="51"/>
    </row>
    <row r="49" spans="1:7" s="59" customFormat="1" ht="15" thickBot="1" x14ac:dyDescent="0.35">
      <c r="A49" s="77"/>
      <c r="B49" s="77"/>
      <c r="C49" s="77"/>
      <c r="D49" s="77"/>
      <c r="E49" s="77"/>
      <c r="F49" s="77"/>
      <c r="G49" s="58"/>
    </row>
    <row r="50" spans="1:7" s="47" customFormat="1" ht="30" customHeight="1" thickBot="1" x14ac:dyDescent="0.3">
      <c r="A50" s="156" t="s">
        <v>12</v>
      </c>
      <c r="B50" s="164">
        <v>3</v>
      </c>
      <c r="C50" s="164"/>
      <c r="D50" s="157" t="s">
        <v>15</v>
      </c>
      <c r="E50" s="158" t="s">
        <v>54</v>
      </c>
      <c r="F50" s="159"/>
      <c r="G50" s="46"/>
    </row>
    <row r="51" spans="1:7" s="47" customFormat="1" ht="30" customHeight="1" thickBot="1" x14ac:dyDescent="0.3">
      <c r="A51" s="78" t="s">
        <v>5</v>
      </c>
      <c r="B51" s="161" t="s">
        <v>42</v>
      </c>
      <c r="C51" s="160"/>
      <c r="D51" s="78" t="s">
        <v>13</v>
      </c>
      <c r="E51" s="229" t="s">
        <v>14</v>
      </c>
      <c r="F51" s="230"/>
      <c r="G51" s="46"/>
    </row>
    <row r="52" spans="1:7" s="52" customFormat="1" x14ac:dyDescent="0.3">
      <c r="A52" s="48" t="s">
        <v>17</v>
      </c>
      <c r="B52" s="49">
        <v>1</v>
      </c>
      <c r="C52" s="152" t="str">
        <f xml:space="preserve"> IF(B52="","",setValueToTime(B52))</f>
        <v>0h5min</v>
      </c>
      <c r="D52" s="50"/>
      <c r="E52" s="225"/>
      <c r="F52" s="226"/>
      <c r="G52" s="51"/>
    </row>
    <row r="53" spans="1:7" s="52" customFormat="1" x14ac:dyDescent="0.3">
      <c r="A53" s="53" t="s">
        <v>52</v>
      </c>
      <c r="B53" s="54">
        <v>35</v>
      </c>
      <c r="C53" s="153" t="str">
        <f t="shared" ref="C53:C59" si="4" xml:space="preserve"> IF(B53="","",setValueToTime(B53))</f>
        <v>2h55min</v>
      </c>
      <c r="D53" s="55" t="s">
        <v>64</v>
      </c>
      <c r="E53" s="217"/>
      <c r="F53" s="218"/>
      <c r="G53" s="51"/>
    </row>
    <row r="54" spans="1:7" s="52" customFormat="1" x14ac:dyDescent="0.3">
      <c r="A54" s="53"/>
      <c r="B54" s="54"/>
      <c r="C54" s="153" t="str">
        <f t="shared" si="4"/>
        <v/>
      </c>
      <c r="D54" s="55"/>
      <c r="E54" s="217"/>
      <c r="F54" s="218"/>
      <c r="G54" s="51"/>
    </row>
    <row r="55" spans="1:7" s="52" customFormat="1" x14ac:dyDescent="0.3">
      <c r="A55" s="53"/>
      <c r="B55" s="54"/>
      <c r="C55" s="153" t="str">
        <f t="shared" si="4"/>
        <v/>
      </c>
      <c r="D55" s="55"/>
      <c r="E55" s="217"/>
      <c r="F55" s="218"/>
      <c r="G55" s="51"/>
    </row>
    <row r="56" spans="1:7" s="52" customFormat="1" x14ac:dyDescent="0.3">
      <c r="A56" s="54"/>
      <c r="B56" s="54"/>
      <c r="C56" s="154" t="str">
        <f t="shared" si="4"/>
        <v/>
      </c>
      <c r="D56" s="55"/>
      <c r="E56" s="217"/>
      <c r="F56" s="218"/>
      <c r="G56" s="51"/>
    </row>
    <row r="57" spans="1:7" s="52" customFormat="1" x14ac:dyDescent="0.3">
      <c r="A57" s="54"/>
      <c r="B57" s="54"/>
      <c r="C57" s="154" t="str">
        <f t="shared" si="4"/>
        <v/>
      </c>
      <c r="D57" s="55"/>
      <c r="E57" s="217"/>
      <c r="F57" s="218"/>
      <c r="G57" s="51"/>
    </row>
    <row r="58" spans="1:7" s="52" customFormat="1" x14ac:dyDescent="0.3">
      <c r="A58" s="54"/>
      <c r="B58" s="54"/>
      <c r="C58" s="154" t="str">
        <f t="shared" si="4"/>
        <v/>
      </c>
      <c r="D58" s="55"/>
      <c r="E58" s="217"/>
      <c r="F58" s="218"/>
      <c r="G58" s="51"/>
    </row>
    <row r="59" spans="1:7" s="52" customFormat="1" ht="15" thickBot="1" x14ac:dyDescent="0.35">
      <c r="A59" s="56"/>
      <c r="B59" s="56"/>
      <c r="C59" s="155" t="str">
        <f t="shared" si="4"/>
        <v/>
      </c>
      <c r="D59" s="57"/>
      <c r="E59" s="219"/>
      <c r="F59" s="220"/>
      <c r="G59" s="51"/>
    </row>
    <row r="60" spans="1:7" s="52" customFormat="1" ht="15" thickBot="1" x14ac:dyDescent="0.35">
      <c r="A60" s="162" t="s">
        <v>29</v>
      </c>
      <c r="B60" s="83">
        <f>SUM(B52:B59)</f>
        <v>36</v>
      </c>
      <c r="C60" s="162" t="str">
        <f xml:space="preserve"> setValueToTime(B60)</f>
        <v>3h</v>
      </c>
      <c r="D60" s="121"/>
      <c r="E60" s="227"/>
      <c r="F60" s="228"/>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v>
      </c>
      <c r="C62" s="164"/>
      <c r="D62" s="157" t="s">
        <v>15</v>
      </c>
      <c r="E62" s="158" t="s">
        <v>54</v>
      </c>
      <c r="F62" s="159"/>
      <c r="G62" s="46"/>
    </row>
    <row r="63" spans="1:7" s="47" customFormat="1" ht="30" customHeight="1" thickBot="1" x14ac:dyDescent="0.3">
      <c r="A63" s="78" t="s">
        <v>5</v>
      </c>
      <c r="B63" s="161" t="s">
        <v>42</v>
      </c>
      <c r="C63" s="160"/>
      <c r="D63" s="78" t="s">
        <v>13</v>
      </c>
      <c r="E63" s="229" t="s">
        <v>14</v>
      </c>
      <c r="F63" s="230"/>
      <c r="G63" s="46"/>
    </row>
    <row r="64" spans="1:7" s="52" customFormat="1" x14ac:dyDescent="0.3">
      <c r="A64" s="48" t="s">
        <v>52</v>
      </c>
      <c r="B64" s="49">
        <v>34</v>
      </c>
      <c r="C64" s="152" t="str">
        <f xml:space="preserve"> IF(B64="","",setValueToTime(B64))</f>
        <v>2h50min</v>
      </c>
      <c r="D64" s="50" t="s">
        <v>60</v>
      </c>
      <c r="E64" s="225"/>
      <c r="F64" s="226"/>
      <c r="G64" s="51"/>
    </row>
    <row r="65" spans="1:7" s="52" customFormat="1" x14ac:dyDescent="0.3">
      <c r="A65" s="53" t="s">
        <v>17</v>
      </c>
      <c r="B65" s="54">
        <v>1</v>
      </c>
      <c r="C65" s="153" t="str">
        <f t="shared" ref="C65:C71" si="5" xml:space="preserve"> IF(B65="","",setValueToTime(B65))</f>
        <v>0h5min</v>
      </c>
      <c r="D65" s="55" t="s">
        <v>61</v>
      </c>
      <c r="E65" s="217"/>
      <c r="F65" s="218"/>
      <c r="G65" s="51"/>
    </row>
    <row r="66" spans="1:7" s="52" customFormat="1" x14ac:dyDescent="0.3">
      <c r="A66" s="53" t="s">
        <v>50</v>
      </c>
      <c r="B66" s="54">
        <v>1</v>
      </c>
      <c r="C66" s="153" t="str">
        <f t="shared" si="5"/>
        <v>0h5min</v>
      </c>
      <c r="D66" s="55" t="s">
        <v>59</v>
      </c>
      <c r="E66" s="217"/>
      <c r="F66" s="218"/>
      <c r="G66" s="51"/>
    </row>
    <row r="67" spans="1:7" s="52" customFormat="1" x14ac:dyDescent="0.3">
      <c r="A67" s="53"/>
      <c r="B67" s="54"/>
      <c r="C67" s="153" t="str">
        <f t="shared" si="5"/>
        <v/>
      </c>
      <c r="D67" s="55"/>
      <c r="E67" s="217"/>
      <c r="F67" s="218"/>
      <c r="G67" s="51"/>
    </row>
    <row r="68" spans="1:7" s="52" customFormat="1" x14ac:dyDescent="0.3">
      <c r="A68" s="54"/>
      <c r="B68" s="54"/>
      <c r="C68" s="154" t="str">
        <f t="shared" si="5"/>
        <v/>
      </c>
      <c r="D68" s="55"/>
      <c r="E68" s="217"/>
      <c r="F68" s="218"/>
      <c r="G68" s="51"/>
    </row>
    <row r="69" spans="1:7" s="52" customFormat="1" x14ac:dyDescent="0.3">
      <c r="A69" s="54"/>
      <c r="B69" s="54"/>
      <c r="C69" s="154" t="str">
        <f t="shared" si="5"/>
        <v/>
      </c>
      <c r="D69" s="55"/>
      <c r="E69" s="217"/>
      <c r="F69" s="218"/>
      <c r="G69" s="51"/>
    </row>
    <row r="70" spans="1:7" s="52" customFormat="1" x14ac:dyDescent="0.3">
      <c r="A70" s="54"/>
      <c r="B70" s="54"/>
      <c r="C70" s="154" t="str">
        <f t="shared" si="5"/>
        <v/>
      </c>
      <c r="D70" s="55"/>
      <c r="E70" s="217"/>
      <c r="F70" s="218"/>
      <c r="G70" s="51"/>
    </row>
    <row r="71" spans="1:7" s="52" customFormat="1" ht="15" thickBot="1" x14ac:dyDescent="0.35">
      <c r="A71" s="56"/>
      <c r="B71" s="56"/>
      <c r="C71" s="155" t="str">
        <f t="shared" si="5"/>
        <v/>
      </c>
      <c r="D71" s="57"/>
      <c r="E71" s="219"/>
      <c r="F71" s="220"/>
      <c r="G71" s="51"/>
    </row>
    <row r="72" spans="1:7" s="52" customFormat="1" ht="15" thickBot="1" x14ac:dyDescent="0.35">
      <c r="A72" s="162" t="s">
        <v>29</v>
      </c>
      <c r="B72" s="83">
        <f>SUM(B64:B71)</f>
        <v>36</v>
      </c>
      <c r="C72" s="162" t="str">
        <f xml:space="preserve"> setValueToTime(B72)</f>
        <v>3h</v>
      </c>
      <c r="D72" s="121"/>
      <c r="E72" s="227"/>
      <c r="F72" s="228"/>
      <c r="G72" s="51"/>
    </row>
    <row r="73" spans="1:7" s="59" customFormat="1" ht="15" thickBot="1" x14ac:dyDescent="0.35">
      <c r="A73" s="77"/>
      <c r="B73" s="77"/>
      <c r="C73" s="77"/>
      <c r="D73" s="77"/>
      <c r="E73" s="77"/>
      <c r="F73" s="77"/>
      <c r="G73" s="58"/>
    </row>
    <row r="74" spans="1:7" s="47" customFormat="1" ht="30" customHeight="1" thickBot="1" x14ac:dyDescent="0.3">
      <c r="A74" s="156" t="s">
        <v>12</v>
      </c>
      <c r="B74" s="164">
        <v>1</v>
      </c>
      <c r="C74" s="164"/>
      <c r="D74" s="157" t="s">
        <v>15</v>
      </c>
      <c r="E74" s="158">
        <v>45532</v>
      </c>
      <c r="F74" s="159"/>
      <c r="G74" s="46"/>
    </row>
    <row r="75" spans="1:7" s="47" customFormat="1" ht="30" customHeight="1" thickBot="1" x14ac:dyDescent="0.3">
      <c r="A75" s="78" t="s">
        <v>5</v>
      </c>
      <c r="B75" s="161" t="s">
        <v>42</v>
      </c>
      <c r="C75" s="160"/>
      <c r="D75" s="78" t="s">
        <v>13</v>
      </c>
      <c r="E75" s="229" t="s">
        <v>14</v>
      </c>
      <c r="F75" s="230"/>
      <c r="G75" s="46"/>
    </row>
    <row r="76" spans="1:7" s="52" customFormat="1" x14ac:dyDescent="0.3">
      <c r="A76" s="48" t="s">
        <v>17</v>
      </c>
      <c r="B76" s="49">
        <v>1</v>
      </c>
      <c r="C76" s="152" t="str">
        <f xml:space="preserve"> IF(B76="","",setValueToTime(B76))</f>
        <v>0h5min</v>
      </c>
      <c r="D76" s="50"/>
      <c r="E76" s="225"/>
      <c r="F76" s="226"/>
      <c r="G76" s="51"/>
    </row>
    <row r="77" spans="1:7" s="52" customFormat="1" x14ac:dyDescent="0.3">
      <c r="A77" s="53" t="s">
        <v>32</v>
      </c>
      <c r="B77" s="54">
        <v>23</v>
      </c>
      <c r="C77" s="153" t="str">
        <f t="shared" ref="C77:C83" si="6" xml:space="preserve"> IF(B77="","",setValueToTime(B77))</f>
        <v>1h55min</v>
      </c>
      <c r="D77" s="55" t="s">
        <v>65</v>
      </c>
      <c r="E77" s="217"/>
      <c r="F77" s="218"/>
      <c r="G77" s="51"/>
    </row>
    <row r="78" spans="1:7" s="52" customFormat="1" x14ac:dyDescent="0.3">
      <c r="A78" s="53" t="s">
        <v>16</v>
      </c>
      <c r="B78" s="54">
        <v>3</v>
      </c>
      <c r="C78" s="153" t="str">
        <f t="shared" si="6"/>
        <v>0h15min</v>
      </c>
      <c r="D78" s="55"/>
      <c r="E78" s="217"/>
      <c r="F78" s="218"/>
      <c r="G78" s="51"/>
    </row>
    <row r="79" spans="1:7" s="52" customFormat="1" x14ac:dyDescent="0.3">
      <c r="A79" s="53" t="s">
        <v>52</v>
      </c>
      <c r="B79" s="54">
        <v>9</v>
      </c>
      <c r="C79" s="153" t="str">
        <f t="shared" si="6"/>
        <v>0h45min</v>
      </c>
      <c r="D79" s="55" t="s">
        <v>66</v>
      </c>
      <c r="E79" s="217"/>
      <c r="F79" s="218"/>
      <c r="G79" s="51"/>
    </row>
    <row r="80" spans="1:7" s="52" customFormat="1" x14ac:dyDescent="0.3">
      <c r="A80" s="54"/>
      <c r="B80" s="54"/>
      <c r="C80" s="154" t="str">
        <f t="shared" si="6"/>
        <v/>
      </c>
      <c r="D80" s="55"/>
      <c r="E80" s="217"/>
      <c r="F80" s="218"/>
      <c r="G80" s="51"/>
    </row>
    <row r="81" spans="1:7" s="52" customFormat="1" x14ac:dyDescent="0.3">
      <c r="A81" s="54"/>
      <c r="B81" s="54"/>
      <c r="C81" s="154" t="str">
        <f t="shared" si="6"/>
        <v/>
      </c>
      <c r="D81" s="55"/>
      <c r="E81" s="217"/>
      <c r="F81" s="218"/>
      <c r="G81" s="51"/>
    </row>
    <row r="82" spans="1:7" s="52" customFormat="1" x14ac:dyDescent="0.3">
      <c r="A82" s="54"/>
      <c r="B82" s="54"/>
      <c r="C82" s="154" t="str">
        <f t="shared" si="6"/>
        <v/>
      </c>
      <c r="D82" s="55"/>
      <c r="E82" s="217"/>
      <c r="F82" s="218"/>
      <c r="G82" s="51"/>
    </row>
    <row r="83" spans="1:7" s="52" customFormat="1" ht="15" thickBot="1" x14ac:dyDescent="0.35">
      <c r="A83" s="56"/>
      <c r="B83" s="56"/>
      <c r="C83" s="155" t="str">
        <f t="shared" si="6"/>
        <v/>
      </c>
      <c r="D83" s="57"/>
      <c r="E83" s="219"/>
      <c r="F83" s="220"/>
      <c r="G83" s="51"/>
    </row>
    <row r="84" spans="1:7" s="52" customFormat="1" ht="15" thickBot="1" x14ac:dyDescent="0.35">
      <c r="A84" s="162" t="s">
        <v>29</v>
      </c>
      <c r="B84" s="83">
        <f>SUM(B76:B83)</f>
        <v>36</v>
      </c>
      <c r="C84" s="162" t="str">
        <f xml:space="preserve"> setValueToTime(B84)</f>
        <v>3h</v>
      </c>
      <c r="D84" s="121"/>
      <c r="E84" s="227"/>
      <c r="F84" s="228"/>
      <c r="G84" s="51"/>
    </row>
    <row r="85" spans="1:7" s="59" customFormat="1" x14ac:dyDescent="0.3">
      <c r="A85" s="77"/>
      <c r="B85" s="77"/>
      <c r="C85" s="77"/>
      <c r="D85" s="77"/>
      <c r="E85" s="77"/>
      <c r="F85" s="77"/>
      <c r="G85" s="58"/>
    </row>
  </sheetData>
  <sheetProtection formatRows="0" insertRows="0" insertHyperlinks="0" deleteRows="0" selectLockedCells="1"/>
  <mergeCells count="70">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56:F56"/>
    <mergeCell ref="E57:F57"/>
    <mergeCell ref="E58:F58"/>
    <mergeCell ref="E59:F59"/>
    <mergeCell ref="E60:F60"/>
    <mergeCell ref="E51:F51"/>
    <mergeCell ref="E52:F52"/>
    <mergeCell ref="E53:F53"/>
    <mergeCell ref="E54:F54"/>
    <mergeCell ref="E55:F55"/>
    <mergeCell ref="E81:F81"/>
    <mergeCell ref="E82:F82"/>
    <mergeCell ref="E83:F83"/>
    <mergeCell ref="E84:F84"/>
    <mergeCell ref="E75:F75"/>
    <mergeCell ref="E76:F76"/>
    <mergeCell ref="E77:F77"/>
    <mergeCell ref="E78:F78"/>
    <mergeCell ref="E79:F79"/>
    <mergeCell ref="E80:F80"/>
    <mergeCell ref="E63:F63"/>
    <mergeCell ref="E64:F64"/>
    <mergeCell ref="E65:F65"/>
    <mergeCell ref="E66:F66"/>
    <mergeCell ref="E67:F67"/>
    <mergeCell ref="E68:F68"/>
    <mergeCell ref="E69:F69"/>
    <mergeCell ref="E70:F70"/>
    <mergeCell ref="E71:F71"/>
    <mergeCell ref="E72:F72"/>
    <mergeCell ref="E39:F39"/>
    <mergeCell ref="E40:F40"/>
    <mergeCell ref="E41:F41"/>
    <mergeCell ref="E42:F42"/>
    <mergeCell ref="E43:F43"/>
    <mergeCell ref="E44:F44"/>
    <mergeCell ref="E45:F45"/>
    <mergeCell ref="E46:F46"/>
    <mergeCell ref="E47:F47"/>
    <mergeCell ref="E48:F48"/>
    <mergeCell ref="E15:F15"/>
    <mergeCell ref="E16:F16"/>
    <mergeCell ref="E17:F17"/>
    <mergeCell ref="E18:F18"/>
    <mergeCell ref="E19:F19"/>
    <mergeCell ref="E20:F20"/>
    <mergeCell ref="E21:F21"/>
    <mergeCell ref="E22:F22"/>
    <mergeCell ref="E23:F23"/>
    <mergeCell ref="E24:F24"/>
  </mergeCells>
  <phoneticPr fontId="0" type="noConversion"/>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76:B83 B64:B71 B52:B59 B40:B47 B28:B35 B16:B23 B4:B11" xr:uid="{1C7C2EB1-D7B2-467F-BD88-CEC5DEA14AC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4 B72 B60 B48 B36 B24 B12" xr:uid="{102994D9-AA17-4E67-AC14-438B01A84798}">
      <formula1>0</formula1>
      <formula2>60</formula2>
    </dataValidation>
    <dataValidation type="list" allowBlank="1" showInputMessage="1" showErrorMessage="1" sqref="A76:A83 A64:A71 A52:A59 A40:A47 A28:A35 A16:A23 A4:A11" xr:uid="{4A089AE1-C5F7-4AE0-BB11-A0082AEC09DE}">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0</xdr:col>
                <xdr:colOff>1885950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90"/>
    </row>
    <row r="11" spans="1:61" ht="18" x14ac:dyDescent="0.25">
      <c r="A11" s="186"/>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90"/>
    </row>
    <row r="12" spans="1:61" ht="18.75" thickBot="1" x14ac:dyDescent="0.3">
      <c r="A12" s="187"/>
      <c r="B12" s="187"/>
      <c r="C12" s="187"/>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90"/>
    </row>
    <row r="13" spans="1:61" ht="18.75" thickBot="1" x14ac:dyDescent="0.3">
      <c r="A13" s="188" t="s">
        <v>12</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90"/>
      <c r="BI13" s="90"/>
    </row>
    <row r="14" spans="1:61" ht="15.75" thickBot="1" x14ac:dyDescent="0.35">
      <c r="A14" s="103"/>
      <c r="B14" s="104"/>
      <c r="C14" s="104"/>
      <c r="D14" s="104"/>
      <c r="E14" s="191" t="s">
        <v>36</v>
      </c>
      <c r="F14" s="191"/>
      <c r="G14" s="191"/>
      <c r="H14" s="191"/>
      <c r="I14" s="104"/>
      <c r="J14" s="104"/>
      <c r="K14" s="192" t="s">
        <v>24</v>
      </c>
      <c r="L14" s="192"/>
      <c r="M14" s="192"/>
      <c r="N14" s="192"/>
      <c r="O14" s="129"/>
      <c r="P14" s="129"/>
      <c r="Q14" s="191" t="s">
        <v>37</v>
      </c>
      <c r="R14" s="191"/>
      <c r="S14" s="191"/>
      <c r="T14" s="191"/>
      <c r="U14" s="104"/>
      <c r="V14" s="104"/>
      <c r="W14" s="192" t="s">
        <v>25</v>
      </c>
      <c r="X14" s="192"/>
      <c r="Y14" s="192"/>
      <c r="Z14" s="192"/>
      <c r="AA14" s="129"/>
      <c r="AB14" s="129"/>
      <c r="AC14" s="191" t="s">
        <v>38</v>
      </c>
      <c r="AD14" s="191"/>
      <c r="AE14" s="191"/>
      <c r="AF14" s="191"/>
      <c r="AG14" s="104"/>
      <c r="AH14" s="104"/>
      <c r="AI14" s="192" t="s">
        <v>26</v>
      </c>
      <c r="AJ14" s="192"/>
      <c r="AK14" s="192"/>
      <c r="AL14" s="192"/>
      <c r="AM14" s="129"/>
      <c r="AN14" s="129"/>
      <c r="AO14" s="191" t="s">
        <v>39</v>
      </c>
      <c r="AP14" s="191"/>
      <c r="AQ14" s="191"/>
      <c r="AR14" s="191"/>
      <c r="AS14" s="104"/>
      <c r="AT14" s="104"/>
      <c r="AU14" s="192" t="s">
        <v>27</v>
      </c>
      <c r="AV14" s="192"/>
      <c r="AW14" s="192"/>
      <c r="AX14" s="192"/>
      <c r="AY14" s="129"/>
      <c r="AZ14" s="129"/>
      <c r="BA14" s="191" t="s">
        <v>40</v>
      </c>
      <c r="BB14" s="191"/>
      <c r="BC14" s="191"/>
      <c r="BD14" s="19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42</v>
      </c>
      <c r="C2" s="151"/>
      <c r="D2" s="80" t="s">
        <v>13</v>
      </c>
      <c r="E2" s="223" t="s">
        <v>14</v>
      </c>
      <c r="F2" s="224"/>
      <c r="G2" s="46"/>
    </row>
    <row r="3" spans="1:7" s="52" customFormat="1" x14ac:dyDescent="0.3">
      <c r="A3" s="48"/>
      <c r="B3" s="49"/>
      <c r="C3" s="152" t="str">
        <f xml:space="preserve"> IF(B3="","",setValueToTime(B3))</f>
        <v/>
      </c>
      <c r="D3" s="50"/>
      <c r="E3" s="225"/>
      <c r="F3" s="226"/>
      <c r="G3" s="51"/>
    </row>
    <row r="4" spans="1:7" s="52" customFormat="1" x14ac:dyDescent="0.3">
      <c r="A4" s="53"/>
      <c r="B4" s="54"/>
      <c r="C4" s="153" t="str">
        <f t="shared" ref="C4:C10" si="0" xml:space="preserve"> IF(B4="","",setValueToTime(B4))</f>
        <v/>
      </c>
      <c r="D4" s="55"/>
      <c r="E4" s="217"/>
      <c r="F4" s="218"/>
      <c r="G4" s="51"/>
    </row>
    <row r="5" spans="1:7" s="52" customFormat="1" x14ac:dyDescent="0.3">
      <c r="A5" s="53"/>
      <c r="B5" s="54"/>
      <c r="C5" s="153" t="str">
        <f t="shared" si="0"/>
        <v/>
      </c>
      <c r="D5" s="55"/>
      <c r="E5" s="217"/>
      <c r="F5" s="218"/>
      <c r="G5" s="51"/>
    </row>
    <row r="6" spans="1:7" s="52" customFormat="1" x14ac:dyDescent="0.3">
      <c r="A6" s="53"/>
      <c r="B6" s="54"/>
      <c r="C6" s="153" t="str">
        <f t="shared" si="0"/>
        <v/>
      </c>
      <c r="D6" s="55"/>
      <c r="E6" s="217"/>
      <c r="F6" s="218"/>
      <c r="G6" s="51"/>
    </row>
    <row r="7" spans="1:7" s="52" customFormat="1" x14ac:dyDescent="0.3">
      <c r="A7" s="54"/>
      <c r="B7" s="54"/>
      <c r="C7" s="154" t="str">
        <f t="shared" si="0"/>
        <v/>
      </c>
      <c r="D7" s="55"/>
      <c r="E7" s="217"/>
      <c r="F7" s="218"/>
      <c r="G7" s="51"/>
    </row>
    <row r="8" spans="1:7" s="52" customFormat="1" x14ac:dyDescent="0.3">
      <c r="A8" s="54"/>
      <c r="B8" s="54"/>
      <c r="C8" s="154" t="str">
        <f t="shared" si="0"/>
        <v/>
      </c>
      <c r="D8" s="55"/>
      <c r="E8" s="217"/>
      <c r="F8" s="218"/>
      <c r="G8" s="51"/>
    </row>
    <row r="9" spans="1:7" s="52" customFormat="1" x14ac:dyDescent="0.3">
      <c r="A9" s="54"/>
      <c r="B9" s="54"/>
      <c r="C9" s="154" t="str">
        <f t="shared" si="0"/>
        <v/>
      </c>
      <c r="D9" s="55"/>
      <c r="E9" s="217"/>
      <c r="F9" s="218"/>
      <c r="G9" s="51"/>
    </row>
    <row r="10" spans="1:7" s="52" customFormat="1" ht="15" thickBot="1" x14ac:dyDescent="0.35">
      <c r="A10" s="56"/>
      <c r="B10" s="56"/>
      <c r="C10" s="155" t="str">
        <f t="shared" si="0"/>
        <v/>
      </c>
      <c r="D10" s="57"/>
      <c r="E10" s="219"/>
      <c r="F10" s="220"/>
      <c r="G10" s="51"/>
    </row>
    <row r="11" spans="1:7" s="52" customFormat="1" ht="15" thickBot="1" x14ac:dyDescent="0.35">
      <c r="A11" s="111" t="s">
        <v>29</v>
      </c>
      <c r="B11" s="84">
        <f>SUM(B3:B10)</f>
        <v>0</v>
      </c>
      <c r="C11" s="111" t="str">
        <f xml:space="preserve"> setValueToTime(B11)</f>
        <v>0h</v>
      </c>
      <c r="D11" s="120"/>
      <c r="E11" s="221"/>
      <c r="F11" s="222"/>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42</v>
      </c>
      <c r="C2" s="160"/>
      <c r="D2" s="78" t="s">
        <v>13</v>
      </c>
      <c r="E2" s="229" t="s">
        <v>14</v>
      </c>
      <c r="F2" s="230"/>
      <c r="G2" s="46"/>
    </row>
    <row r="3" spans="1:7" s="52" customFormat="1" x14ac:dyDescent="0.3">
      <c r="A3" s="48"/>
      <c r="B3" s="49"/>
      <c r="C3" s="152" t="str">
        <f xml:space="preserve"> IF(B3="","",setValueToTime(B3))</f>
        <v/>
      </c>
      <c r="D3" s="50"/>
      <c r="E3" s="225"/>
      <c r="F3" s="226"/>
      <c r="G3" s="51"/>
    </row>
    <row r="4" spans="1:7" s="52" customFormat="1" x14ac:dyDescent="0.3">
      <c r="A4" s="53"/>
      <c r="B4" s="54"/>
      <c r="C4" s="153" t="str">
        <f t="shared" ref="C4:C10" si="0" xml:space="preserve"> IF(B4="","",setValueToTime(B4))</f>
        <v/>
      </c>
      <c r="D4" s="55"/>
      <c r="E4" s="217"/>
      <c r="F4" s="218"/>
      <c r="G4" s="51"/>
    </row>
    <row r="5" spans="1:7" s="52" customFormat="1" x14ac:dyDescent="0.3">
      <c r="A5" s="53"/>
      <c r="B5" s="54"/>
      <c r="C5" s="153" t="str">
        <f t="shared" si="0"/>
        <v/>
      </c>
      <c r="D5" s="55"/>
      <c r="E5" s="217"/>
      <c r="F5" s="218"/>
      <c r="G5" s="51"/>
    </row>
    <row r="6" spans="1:7" s="52" customFormat="1" x14ac:dyDescent="0.3">
      <c r="A6" s="53"/>
      <c r="B6" s="54"/>
      <c r="C6" s="153" t="str">
        <f t="shared" si="0"/>
        <v/>
      </c>
      <c r="D6" s="55"/>
      <c r="E6" s="217"/>
      <c r="F6" s="218"/>
      <c r="G6" s="51"/>
    </row>
    <row r="7" spans="1:7" s="52" customFormat="1" x14ac:dyDescent="0.3">
      <c r="A7" s="54"/>
      <c r="B7" s="54"/>
      <c r="C7" s="154" t="str">
        <f t="shared" si="0"/>
        <v/>
      </c>
      <c r="D7" s="55"/>
      <c r="E7" s="217"/>
      <c r="F7" s="218"/>
      <c r="G7" s="51"/>
    </row>
    <row r="8" spans="1:7" s="52" customFormat="1" x14ac:dyDescent="0.3">
      <c r="A8" s="54"/>
      <c r="B8" s="54"/>
      <c r="C8" s="154" t="str">
        <f t="shared" si="0"/>
        <v/>
      </c>
      <c r="D8" s="55"/>
      <c r="E8" s="217"/>
      <c r="F8" s="218"/>
      <c r="G8" s="51"/>
    </row>
    <row r="9" spans="1:7" s="52" customFormat="1" x14ac:dyDescent="0.3">
      <c r="A9" s="54"/>
      <c r="B9" s="54"/>
      <c r="C9" s="154" t="str">
        <f t="shared" si="0"/>
        <v/>
      </c>
      <c r="D9" s="55"/>
      <c r="E9" s="217"/>
      <c r="F9" s="218"/>
      <c r="G9" s="51"/>
    </row>
    <row r="10" spans="1:7" s="52" customFormat="1" ht="15" thickBot="1" x14ac:dyDescent="0.35">
      <c r="A10" s="56"/>
      <c r="B10" s="56"/>
      <c r="C10" s="155" t="str">
        <f t="shared" si="0"/>
        <v/>
      </c>
      <c r="D10" s="57"/>
      <c r="E10" s="219"/>
      <c r="F10" s="220"/>
      <c r="G10" s="51"/>
    </row>
    <row r="11" spans="1:7" s="52" customFormat="1" ht="15" thickBot="1" x14ac:dyDescent="0.35">
      <c r="A11" s="162" t="s">
        <v>29</v>
      </c>
      <c r="B11" s="83">
        <f>SUM(B3:B10)</f>
        <v>0</v>
      </c>
      <c r="C11" s="162" t="str">
        <f xml:space="preserve"> setValueToTime(B11)</f>
        <v>0h</v>
      </c>
      <c r="D11" s="121"/>
      <c r="E11" s="227"/>
      <c r="F11" s="22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Bastien Segalen</dc:creator>
  <cp:lastModifiedBy>Bastien Segalen</cp:lastModifiedBy>
  <cp:lastPrinted>2019-05-08T10:31:53Z</cp:lastPrinted>
  <dcterms:created xsi:type="dcterms:W3CDTF">1996-10-21T11:03:58Z</dcterms:created>
  <dcterms:modified xsi:type="dcterms:W3CDTF">2024-10-11T14:29:03Z</dcterms:modified>
</cp:coreProperties>
</file>