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C3125934-B777-4ED2-AA24-318380971AD4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B36" i="12"/>
  <c r="C35" i="12"/>
  <c r="C34" i="12"/>
  <c r="C33" i="12"/>
  <c r="C32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C54" i="12"/>
  <c r="B72" i="12"/>
  <c r="C71" i="12"/>
  <c r="C70" i="12"/>
  <c r="C69" i="12"/>
  <c r="C68" i="12"/>
  <c r="C67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84" i="12"/>
  <c r="C83" i="12"/>
  <c r="C82" i="12"/>
  <c r="C81" i="12"/>
  <c r="C80" i="12"/>
  <c r="C79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C48" i="10"/>
  <c r="C17" i="10"/>
  <c r="C11" i="15"/>
  <c r="C12" i="10"/>
  <c r="C4" i="10"/>
  <c r="C96" i="10"/>
  <c r="C6" i="10"/>
  <c r="C28" i="10"/>
  <c r="C65" i="10"/>
  <c r="C52" i="10"/>
  <c r="C60" i="10"/>
  <c r="C72" i="10"/>
  <c r="C41" i="10"/>
  <c r="C5" i="10"/>
  <c r="C78" i="10"/>
  <c r="C18" i="10"/>
  <c r="C66" i="10"/>
  <c r="C16" i="10"/>
  <c r="C42" i="10"/>
  <c r="C54" i="10"/>
  <c r="C11" i="16"/>
  <c r="C40" i="10"/>
  <c r="C30" i="10"/>
  <c r="C36" i="10"/>
  <c r="C77" i="10"/>
  <c r="C29" i="10"/>
  <c r="C64" i="10"/>
  <c r="C24" i="10"/>
  <c r="C84" i="10"/>
  <c r="C88" i="10"/>
  <c r="C53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6" i="12"/>
  <c r="C5" i="12"/>
  <c r="C4" i="12"/>
  <c r="C12" i="12"/>
  <c r="C19" i="12"/>
  <c r="C77" i="12"/>
  <c r="C78" i="12"/>
  <c r="C64" i="12"/>
  <c r="C16" i="12"/>
  <c r="C31" i="12"/>
  <c r="C17" i="12"/>
  <c r="C24" i="12"/>
  <c r="C18" i="12"/>
  <c r="C72" i="12"/>
  <c r="C36" i="12"/>
  <c r="C65" i="12"/>
  <c r="C30" i="12"/>
  <c r="C66" i="12"/>
  <c r="C28" i="12"/>
  <c r="C53" i="12"/>
  <c r="C52" i="12"/>
  <c r="C42" i="12"/>
  <c r="C41" i="12"/>
  <c r="C48" i="12"/>
  <c r="C40" i="12"/>
  <c r="C84" i="12"/>
  <c r="C76" i="12"/>
  <c r="C29" i="12"/>
  <c r="C6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<sst xmlns="http://schemas.openxmlformats.org/spreadsheetml/2006/main" count="397" uniqueCount="78">
  <si>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</si>
  <si>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</si>
  <si>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</si>
  <si>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</si>
  <si>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</si>
  <si>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</si>
  <si>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</si>
  <si>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</si>
  <si>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</si>
  <si>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</si>
  <si>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</si>
  <si>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</si>
  <si>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</si>
  <si>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</si>
  <si>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</si>
  <si>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</si>
  <si>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</si>
  <si>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</si>
  <si>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</si>
  <si>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</si>
  <si>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</si>
  <si>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</si>
  <si>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</si>
  <si>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</si>
  <si>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</si>
  <si>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</si>
  <si>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</si>
  <si>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</si>
  <si>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</si>
  <si>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</si>
  <si>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</si>
  <si>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</si>
  <si>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</si>
  <si>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</si>
  <si>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</si>
  <si>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</si>
  <si>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</si>
  <si>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</si>
  <si>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</si>
  <si>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</si>
  <si>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</si>
  <si>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</si>
  <si>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</si>
  <si>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</si>
  <si>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</si>
  <si>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</si>
  <si>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</si>
  <si>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</si>
  <si>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</si>
  <si>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</si>
  <si>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</si>
  <si>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</si>
  <si>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</si>
  <si>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</si>
  <si>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</si>
  <si>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</si>
  <si>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</si>
  <si>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</si>
  <si>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</si>
  <si>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</si>
  <si>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</si>
  <si>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</si>
  <si>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</si>
  <si>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</si>
  <si>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création des écran d'accueil, de scores et l'éditeur de niveau</t>
  </si>
  <si>
    <t>réalisation d'un troisieme personna</t>
  </si>
  <si>
    <t>éditeur de niveau</t>
  </si>
  <si>
    <t>début de l'éditeur de niveau en haute fidélidté</t>
  </si>
  <si>
    <t>écran des paramètres, éditeur de niveau</t>
  </si>
  <si>
    <t>ajout d'un personna qui a besoin d'accesibilité (malvoyant)</t>
  </si>
  <si>
    <t>partie sur l'accessibilité  et personnas</t>
  </si>
  <si>
    <t>wireframe, prototype, agrandissement des options de l'éditeur de niveau</t>
  </si>
  <si>
    <t>début de la maquette haute fidélité, début de la palette de couleurs</t>
  </si>
  <si>
    <t>1h10min</t>
  </si>
  <si>
    <t>- 2h40min</t>
  </si>
  <si>
    <t>partie sur les 115 bonnes pratique</t>
  </si>
  <si>
    <t>palette de couleur</t>
  </si>
  <si>
    <t>rendimensionnement des éléments car trop petits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</si>
</sst>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72" xfId="0" applyFont="1" applyFill="1" applyBorder="1"/>
    <xf numFmtId="0" fontId="2" fillId="19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0.75</c:v>
              </c:pt>
              <c:pt idx="4">
                <c:v>0.41999998688697815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34</v>
      </c>
      <c r="C35" s="190"/>
      <c r="D35" s="190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35</v>
      </c>
      <c r="C37" s="191"/>
      <c r="D37" s="191"/>
      <c r="E37" s="109" t="s">
        <v>73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74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22" t="s">
        <v>31</v>
      </c>
      <c r="D1" s="222"/>
      <c r="E1" s="22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23"/>
      <c r="D7" s="223"/>
      <c r="E7" s="22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14" t="str">
        <f>E96</f>
        <v>16h30min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21" t="s">
        <v>23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14" t="str">
        <f>E98</f>
        <v>15h45min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1"/>
      <c r="BO10" s="211"/>
      <c r="BP10" s="211"/>
      <c r="BQ10" s="211"/>
      <c r="BR10" s="211"/>
      <c r="BS10" s="211"/>
      <c r="BT10" s="211"/>
      <c r="BU10" s="211"/>
      <c r="BV10" s="211"/>
      <c r="BW10" s="211"/>
      <c r="BX10" s="211"/>
      <c r="BY10" s="211"/>
      <c r="BZ10" s="211"/>
      <c r="CA10" s="211"/>
      <c r="CB10" s="211"/>
      <c r="CC10" s="211"/>
      <c r="CD10" s="211"/>
      <c r="CE10" s="211"/>
      <c r="CF10" s="211"/>
      <c r="CG10" s="211"/>
      <c r="CH10" s="211"/>
      <c r="CI10" s="211"/>
      <c r="CJ10" s="211"/>
      <c r="CK10" s="211"/>
      <c r="CL10" s="211"/>
      <c r="CM10" s="211"/>
      <c r="CN10" s="211"/>
      <c r="CO10" s="211"/>
      <c r="CP10" s="211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90"/>
    </row>
    <row r="11" spans="1:486" ht="20.100000000000001" customHeight="1" x14ac:dyDescent="0.25">
      <c r="B11" s="96"/>
      <c r="C11" s="219"/>
      <c r="D11" s="219"/>
      <c r="E11" s="219"/>
      <c r="F11" s="212" t="s">
        <v>51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55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193" t="s">
        <v>55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55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55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55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55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55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90"/>
    </row>
    <row r="12" spans="1:486" ht="15.75" customHeight="1" thickBot="1" x14ac:dyDescent="0.3">
      <c r="B12" s="97"/>
      <c r="C12" s="220"/>
      <c r="D12" s="220"/>
      <c r="E12" s="220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  <c r="BJ12" s="213"/>
      <c r="BK12" s="213"/>
      <c r="BL12" s="213"/>
      <c r="BM12" s="213"/>
      <c r="BN12" s="213"/>
      <c r="BO12" s="213"/>
      <c r="BP12" s="213"/>
      <c r="BQ12" s="213"/>
      <c r="BR12" s="213"/>
      <c r="BS12" s="213"/>
      <c r="BT12" s="213"/>
      <c r="BU12" s="213"/>
      <c r="BV12" s="213"/>
      <c r="BW12" s="213"/>
      <c r="BX12" s="213"/>
      <c r="BY12" s="213"/>
      <c r="BZ12" s="213"/>
      <c r="CA12" s="213"/>
      <c r="CB12" s="213"/>
      <c r="CC12" s="213"/>
      <c r="CD12" s="213"/>
      <c r="CE12" s="213"/>
      <c r="CF12" s="213"/>
      <c r="CG12" s="213"/>
      <c r="CH12" s="213"/>
      <c r="CI12" s="213"/>
      <c r="CJ12" s="213"/>
      <c r="CK12" s="213"/>
      <c r="CL12" s="213"/>
      <c r="CM12" s="213"/>
      <c r="CN12" s="213"/>
      <c r="CO12" s="213"/>
      <c r="CP12" s="213"/>
      <c r="CQ12" s="213"/>
      <c r="CR12" s="213"/>
      <c r="CS12" s="213"/>
      <c r="CT12" s="213"/>
      <c r="CU12" s="213"/>
      <c r="CV12" s="213"/>
      <c r="CW12" s="213"/>
      <c r="CX12" s="213"/>
      <c r="CY12" s="213"/>
      <c r="CZ12" s="213"/>
      <c r="DA12" s="213"/>
      <c r="DB12" s="213"/>
      <c r="DC12" s="213"/>
      <c r="DD12" s="213"/>
      <c r="DE12" s="213"/>
      <c r="DF12" s="213"/>
      <c r="DG12" s="213"/>
      <c r="DH12" s="213"/>
      <c r="DI12" s="213"/>
      <c r="DJ12" s="213"/>
      <c r="DK12" s="213"/>
      <c r="DL12" s="213"/>
      <c r="DM12" s="213"/>
      <c r="DN12" s="213"/>
      <c r="DO12" s="213"/>
      <c r="DP12" s="213"/>
      <c r="DQ12" s="213"/>
      <c r="DR12" s="213"/>
      <c r="DS12" s="213"/>
      <c r="DT12" s="213"/>
      <c r="DU12" s="213"/>
      <c r="DV12" s="194"/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/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90"/>
    </row>
    <row r="13" spans="1:486" ht="42.75" customHeight="1" thickBot="1" x14ac:dyDescent="0.3">
      <c r="B13" s="96"/>
      <c r="C13" s="215" t="s">
        <v>7</v>
      </c>
      <c r="D13" s="144"/>
      <c r="E13" s="217" t="s">
        <v>41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28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19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54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59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58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57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56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90"/>
    </row>
    <row r="14" spans="1:486" ht="12.75" customHeight="1" thickBot="1" x14ac:dyDescent="0.35">
      <c r="B14" s="96"/>
      <c r="C14" s="216"/>
      <c r="D14" s="145"/>
      <c r="E14" s="218"/>
      <c r="F14" s="103"/>
      <c r="G14" s="104"/>
      <c r="H14" s="104"/>
      <c r="I14" s="104"/>
      <c r="J14" s="198" t="s">
        <v>36</v>
      </c>
      <c r="K14" s="198"/>
      <c r="L14" s="198"/>
      <c r="M14" s="198"/>
      <c r="N14" s="104"/>
      <c r="O14" s="104"/>
      <c r="P14" s="199" t="s">
        <v>24</v>
      </c>
      <c r="Q14" s="199"/>
      <c r="R14" s="199"/>
      <c r="S14" s="199"/>
      <c r="T14" s="129"/>
      <c r="U14" s="129"/>
      <c r="V14" s="198" t="s">
        <v>37</v>
      </c>
      <c r="W14" s="198"/>
      <c r="X14" s="198"/>
      <c r="Y14" s="198"/>
      <c r="Z14" s="104"/>
      <c r="AA14" s="104"/>
      <c r="AB14" s="199" t="s">
        <v>25</v>
      </c>
      <c r="AC14" s="199"/>
      <c r="AD14" s="199"/>
      <c r="AE14" s="199"/>
      <c r="AF14" s="129"/>
      <c r="AG14" s="129"/>
      <c r="AH14" s="198" t="s">
        <v>38</v>
      </c>
      <c r="AI14" s="198"/>
      <c r="AJ14" s="198"/>
      <c r="AK14" s="198"/>
      <c r="AL14" s="104"/>
      <c r="AM14" s="104"/>
      <c r="AN14" s="199" t="s">
        <v>26</v>
      </c>
      <c r="AO14" s="199"/>
      <c r="AP14" s="199"/>
      <c r="AQ14" s="199"/>
      <c r="AR14" s="129"/>
      <c r="AS14" s="129"/>
      <c r="AT14" s="198" t="s">
        <v>39</v>
      </c>
      <c r="AU14" s="198"/>
      <c r="AV14" s="198"/>
      <c r="AW14" s="198"/>
      <c r="AX14" s="104"/>
      <c r="AY14" s="104"/>
      <c r="AZ14" s="199" t="s">
        <v>27</v>
      </c>
      <c r="BA14" s="199"/>
      <c r="BB14" s="199"/>
      <c r="BC14" s="199"/>
      <c r="BD14" s="129"/>
      <c r="BE14" s="129"/>
      <c r="BF14" s="198" t="s">
        <v>40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36</v>
      </c>
      <c r="BS14" s="198"/>
      <c r="BT14" s="198"/>
      <c r="BU14" s="198"/>
      <c r="BV14" s="104"/>
      <c r="BW14" s="104"/>
      <c r="BX14" s="199" t="s">
        <v>24</v>
      </c>
      <c r="BY14" s="199"/>
      <c r="BZ14" s="199"/>
      <c r="CA14" s="199"/>
      <c r="CB14" s="129"/>
      <c r="CC14" s="129"/>
      <c r="CD14" s="198" t="s">
        <v>37</v>
      </c>
      <c r="CE14" s="198"/>
      <c r="CF14" s="198"/>
      <c r="CG14" s="198"/>
      <c r="CH14" s="104"/>
      <c r="CI14" s="104"/>
      <c r="CJ14" s="199" t="s">
        <v>25</v>
      </c>
      <c r="CK14" s="199"/>
      <c r="CL14" s="199"/>
      <c r="CM14" s="199"/>
      <c r="CN14" s="129"/>
      <c r="CO14" s="129"/>
      <c r="CP14" s="198" t="s">
        <v>38</v>
      </c>
      <c r="CQ14" s="198"/>
      <c r="CR14" s="198"/>
      <c r="CS14" s="198"/>
      <c r="CT14" s="104"/>
      <c r="CU14" s="104"/>
      <c r="CV14" s="199" t="s">
        <v>26</v>
      </c>
      <c r="CW14" s="199"/>
      <c r="CX14" s="199"/>
      <c r="CY14" s="199"/>
      <c r="CZ14" s="129"/>
      <c r="DA14" s="129"/>
      <c r="DB14" s="198" t="s">
        <v>39</v>
      </c>
      <c r="DC14" s="198"/>
      <c r="DD14" s="198"/>
      <c r="DE14" s="198"/>
      <c r="DF14" s="104"/>
      <c r="DG14" s="104"/>
      <c r="DH14" s="199" t="s">
        <v>27</v>
      </c>
      <c r="DI14" s="199"/>
      <c r="DJ14" s="199"/>
      <c r="DK14" s="199"/>
      <c r="DL14" s="129"/>
      <c r="DM14" s="129"/>
      <c r="DN14" s="198" t="s">
        <v>40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36</v>
      </c>
      <c r="EA14" s="198"/>
      <c r="EB14" s="198"/>
      <c r="EC14" s="198"/>
      <c r="ED14" s="104"/>
      <c r="EE14" s="104"/>
      <c r="EF14" s="199" t="s">
        <v>24</v>
      </c>
      <c r="EG14" s="199"/>
      <c r="EH14" s="199"/>
      <c r="EI14" s="199"/>
      <c r="EJ14" s="129"/>
      <c r="EK14" s="129"/>
      <c r="EL14" s="198" t="s">
        <v>37</v>
      </c>
      <c r="EM14" s="198"/>
      <c r="EN14" s="198"/>
      <c r="EO14" s="198"/>
      <c r="EP14" s="104"/>
      <c r="EQ14" s="104"/>
      <c r="ER14" s="199" t="s">
        <v>25</v>
      </c>
      <c r="ES14" s="199"/>
      <c r="ET14" s="199"/>
      <c r="EU14" s="199"/>
      <c r="EV14" s="129"/>
      <c r="EW14" s="129"/>
      <c r="EX14" s="198" t="s">
        <v>38</v>
      </c>
      <c r="EY14" s="198"/>
      <c r="EZ14" s="198"/>
      <c r="FA14" s="198"/>
      <c r="FB14" s="104"/>
      <c r="FC14" s="104"/>
      <c r="FD14" s="199" t="s">
        <v>26</v>
      </c>
      <c r="FE14" s="199"/>
      <c r="FF14" s="199"/>
      <c r="FG14" s="199"/>
      <c r="FH14" s="129"/>
      <c r="FI14" s="129"/>
      <c r="FJ14" s="198" t="s">
        <v>39</v>
      </c>
      <c r="FK14" s="198"/>
      <c r="FL14" s="198"/>
      <c r="FM14" s="198"/>
      <c r="FN14" s="104"/>
      <c r="FO14" s="104"/>
      <c r="FP14" s="199" t="s">
        <v>27</v>
      </c>
      <c r="FQ14" s="199"/>
      <c r="FR14" s="199"/>
      <c r="FS14" s="199"/>
      <c r="FT14" s="129"/>
      <c r="FU14" s="129"/>
      <c r="FV14" s="198" t="s">
        <v>40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36</v>
      </c>
      <c r="GI14" s="198"/>
      <c r="GJ14" s="198"/>
      <c r="GK14" s="198"/>
      <c r="GL14" s="104"/>
      <c r="GM14" s="104"/>
      <c r="GN14" s="199" t="s">
        <v>24</v>
      </c>
      <c r="GO14" s="199"/>
      <c r="GP14" s="199"/>
      <c r="GQ14" s="199"/>
      <c r="GR14" s="129"/>
      <c r="GS14" s="129"/>
      <c r="GT14" s="198" t="s">
        <v>37</v>
      </c>
      <c r="GU14" s="198"/>
      <c r="GV14" s="198"/>
      <c r="GW14" s="198"/>
      <c r="GX14" s="104"/>
      <c r="GY14" s="104"/>
      <c r="GZ14" s="199" t="s">
        <v>25</v>
      </c>
      <c r="HA14" s="199"/>
      <c r="HB14" s="199"/>
      <c r="HC14" s="199"/>
      <c r="HD14" s="129"/>
      <c r="HE14" s="129"/>
      <c r="HF14" s="198" t="s">
        <v>38</v>
      </c>
      <c r="HG14" s="198"/>
      <c r="HH14" s="198"/>
      <c r="HI14" s="198"/>
      <c r="HJ14" s="104"/>
      <c r="HK14" s="104"/>
      <c r="HL14" s="199" t="s">
        <v>26</v>
      </c>
      <c r="HM14" s="199"/>
      <c r="HN14" s="199"/>
      <c r="HO14" s="199"/>
      <c r="HP14" s="129"/>
      <c r="HQ14" s="129"/>
      <c r="HR14" s="198" t="s">
        <v>39</v>
      </c>
      <c r="HS14" s="198"/>
      <c r="HT14" s="198"/>
      <c r="HU14" s="198"/>
      <c r="HV14" s="104"/>
      <c r="HW14" s="104"/>
      <c r="HX14" s="199" t="s">
        <v>27</v>
      </c>
      <c r="HY14" s="199"/>
      <c r="HZ14" s="199"/>
      <c r="IA14" s="199"/>
      <c r="IB14" s="129"/>
      <c r="IC14" s="129"/>
      <c r="ID14" s="198" t="s">
        <v>40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36</v>
      </c>
      <c r="IQ14" s="198"/>
      <c r="IR14" s="198"/>
      <c r="IS14" s="198"/>
      <c r="IT14" s="104"/>
      <c r="IU14" s="104"/>
      <c r="IV14" s="199" t="s">
        <v>24</v>
      </c>
      <c r="IW14" s="199"/>
      <c r="IX14" s="199"/>
      <c r="IY14" s="199"/>
      <c r="IZ14" s="129"/>
      <c r="JA14" s="129"/>
      <c r="JB14" s="198" t="s">
        <v>37</v>
      </c>
      <c r="JC14" s="198"/>
      <c r="JD14" s="198"/>
      <c r="JE14" s="198"/>
      <c r="JF14" s="104"/>
      <c r="JG14" s="104"/>
      <c r="JH14" s="199" t="s">
        <v>25</v>
      </c>
      <c r="JI14" s="199"/>
      <c r="JJ14" s="199"/>
      <c r="JK14" s="199"/>
      <c r="JL14" s="129"/>
      <c r="JM14" s="129"/>
      <c r="JN14" s="198" t="s">
        <v>38</v>
      </c>
      <c r="JO14" s="198"/>
      <c r="JP14" s="198"/>
      <c r="JQ14" s="198"/>
      <c r="JR14" s="104"/>
      <c r="JS14" s="104"/>
      <c r="JT14" s="199" t="s">
        <v>26</v>
      </c>
      <c r="JU14" s="199"/>
      <c r="JV14" s="199"/>
      <c r="JW14" s="199"/>
      <c r="JX14" s="129"/>
      <c r="JY14" s="129"/>
      <c r="JZ14" s="198" t="s">
        <v>39</v>
      </c>
      <c r="KA14" s="198"/>
      <c r="KB14" s="198"/>
      <c r="KC14" s="198"/>
      <c r="KD14" s="104"/>
      <c r="KE14" s="104"/>
      <c r="KF14" s="199" t="s">
        <v>27</v>
      </c>
      <c r="KG14" s="199"/>
      <c r="KH14" s="199"/>
      <c r="KI14" s="199"/>
      <c r="KJ14" s="129"/>
      <c r="KK14" s="129"/>
      <c r="KL14" s="198" t="s">
        <v>40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36</v>
      </c>
      <c r="KY14" s="198"/>
      <c r="KZ14" s="198"/>
      <c r="LA14" s="198"/>
      <c r="LB14" s="104"/>
      <c r="LC14" s="104"/>
      <c r="LD14" s="199" t="s">
        <v>24</v>
      </c>
      <c r="LE14" s="199"/>
      <c r="LF14" s="199"/>
      <c r="LG14" s="199"/>
      <c r="LH14" s="129"/>
      <c r="LI14" s="129"/>
      <c r="LJ14" s="198" t="s">
        <v>37</v>
      </c>
      <c r="LK14" s="198"/>
      <c r="LL14" s="198"/>
      <c r="LM14" s="198"/>
      <c r="LN14" s="104"/>
      <c r="LO14" s="104"/>
      <c r="LP14" s="199" t="s">
        <v>25</v>
      </c>
      <c r="LQ14" s="199"/>
      <c r="LR14" s="199"/>
      <c r="LS14" s="199"/>
      <c r="LT14" s="129"/>
      <c r="LU14" s="129"/>
      <c r="LV14" s="198" t="s">
        <v>38</v>
      </c>
      <c r="LW14" s="198"/>
      <c r="LX14" s="198"/>
      <c r="LY14" s="198"/>
      <c r="LZ14" s="104"/>
      <c r="MA14" s="104"/>
      <c r="MB14" s="199" t="s">
        <v>26</v>
      </c>
      <c r="MC14" s="199"/>
      <c r="MD14" s="199"/>
      <c r="ME14" s="199"/>
      <c r="MF14" s="129"/>
      <c r="MG14" s="129"/>
      <c r="MH14" s="198" t="s">
        <v>39</v>
      </c>
      <c r="MI14" s="198"/>
      <c r="MJ14" s="198"/>
      <c r="MK14" s="198"/>
      <c r="ML14" s="104"/>
      <c r="MM14" s="104"/>
      <c r="MN14" s="199" t="s">
        <v>27</v>
      </c>
      <c r="MO14" s="199"/>
      <c r="MP14" s="199"/>
      <c r="MQ14" s="199"/>
      <c r="MR14" s="129"/>
      <c r="MS14" s="129"/>
      <c r="MT14" s="198" t="s">
        <v>40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36</v>
      </c>
      <c r="NG14" s="198"/>
      <c r="NH14" s="198"/>
      <c r="NI14" s="198"/>
      <c r="NJ14" s="104"/>
      <c r="NK14" s="104"/>
      <c r="NL14" s="199" t="s">
        <v>24</v>
      </c>
      <c r="NM14" s="199"/>
      <c r="NN14" s="199"/>
      <c r="NO14" s="199"/>
      <c r="NP14" s="129"/>
      <c r="NQ14" s="129"/>
      <c r="NR14" s="198" t="s">
        <v>37</v>
      </c>
      <c r="NS14" s="198"/>
      <c r="NT14" s="198"/>
      <c r="NU14" s="198"/>
      <c r="NV14" s="104"/>
      <c r="NW14" s="104"/>
      <c r="NX14" s="199" t="s">
        <v>25</v>
      </c>
      <c r="NY14" s="199"/>
      <c r="NZ14" s="199"/>
      <c r="OA14" s="199"/>
      <c r="OB14" s="129"/>
      <c r="OC14" s="129"/>
      <c r="OD14" s="198" t="s">
        <v>38</v>
      </c>
      <c r="OE14" s="198"/>
      <c r="OF14" s="198"/>
      <c r="OG14" s="198"/>
      <c r="OH14" s="104"/>
      <c r="OI14" s="104"/>
      <c r="OJ14" s="199" t="s">
        <v>26</v>
      </c>
      <c r="OK14" s="199"/>
      <c r="OL14" s="199"/>
      <c r="OM14" s="199"/>
      <c r="ON14" s="129"/>
      <c r="OO14" s="129"/>
      <c r="OP14" s="198" t="s">
        <v>39</v>
      </c>
      <c r="OQ14" s="198"/>
      <c r="OR14" s="198"/>
      <c r="OS14" s="198"/>
      <c r="OT14" s="104"/>
      <c r="OU14" s="104"/>
      <c r="OV14" s="199" t="s">
        <v>27</v>
      </c>
      <c r="OW14" s="199"/>
      <c r="OX14" s="199"/>
      <c r="OY14" s="199"/>
      <c r="OZ14" s="129"/>
      <c r="PA14" s="129"/>
      <c r="PB14" s="198" t="s">
        <v>40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36</v>
      </c>
      <c r="PO14" s="198"/>
      <c r="PP14" s="198"/>
      <c r="PQ14" s="198"/>
      <c r="PR14" s="104"/>
      <c r="PS14" s="104"/>
      <c r="PT14" s="199" t="s">
        <v>24</v>
      </c>
      <c r="PU14" s="199"/>
      <c r="PV14" s="199"/>
      <c r="PW14" s="199"/>
      <c r="PX14" s="129"/>
      <c r="PY14" s="129"/>
      <c r="PZ14" s="198" t="s">
        <v>37</v>
      </c>
      <c r="QA14" s="198"/>
      <c r="QB14" s="198"/>
      <c r="QC14" s="198"/>
      <c r="QD14" s="104"/>
      <c r="QE14" s="104"/>
      <c r="QF14" s="199" t="s">
        <v>25</v>
      </c>
      <c r="QG14" s="199"/>
      <c r="QH14" s="199"/>
      <c r="QI14" s="199"/>
      <c r="QJ14" s="129"/>
      <c r="QK14" s="129"/>
      <c r="QL14" s="198" t="s">
        <v>38</v>
      </c>
      <c r="QM14" s="198"/>
      <c r="QN14" s="198"/>
      <c r="QO14" s="198"/>
      <c r="QP14" s="104"/>
      <c r="QQ14" s="104"/>
      <c r="QR14" s="199" t="s">
        <v>26</v>
      </c>
      <c r="QS14" s="199"/>
      <c r="QT14" s="199"/>
      <c r="QU14" s="199"/>
      <c r="QV14" s="129"/>
      <c r="QW14" s="129"/>
      <c r="QX14" s="198" t="s">
        <v>39</v>
      </c>
      <c r="QY14" s="198"/>
      <c r="QZ14" s="198"/>
      <c r="RA14" s="198"/>
      <c r="RB14" s="104"/>
      <c r="RC14" s="104"/>
      <c r="RD14" s="199" t="s">
        <v>27</v>
      </c>
      <c r="RE14" s="199"/>
      <c r="RF14" s="199"/>
      <c r="RG14" s="199"/>
      <c r="RH14" s="129"/>
      <c r="RI14" s="129"/>
      <c r="RJ14" s="198" t="s">
        <v>40</v>
      </c>
      <c r="RK14" s="198"/>
      <c r="RL14" s="198"/>
      <c r="RM14" s="198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0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200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6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200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201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200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201"/>
      <c r="D22" s="147" t="str">
        <f t="shared" si="0"/>
        <v>0h45min</v>
      </c>
      <c r="E22" s="35">
        <v>9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178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178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178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200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201"/>
      <c r="D24" s="147" t="str">
        <f t="shared" si="0"/>
        <v>0h50min</v>
      </c>
      <c r="E24" s="27">
        <v>10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182"/>
      <c r="LG24" s="182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182"/>
      <c r="NY24" s="185"/>
      <c r="NZ24" s="182"/>
      <c r="OA24" s="182"/>
      <c r="OB24" s="182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200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6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200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6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200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6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200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6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200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6"/>
      <c r="D34" s="148" t="str">
        <f t="shared" si="0"/>
        <v>4h5min</v>
      </c>
      <c r="E34" s="35">
        <v>49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178"/>
      <c r="HA34" s="180"/>
      <c r="HB34" s="178"/>
      <c r="HC34" s="178"/>
      <c r="HD34" s="178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176"/>
      <c r="IM34" s="177"/>
      <c r="IN34" s="177"/>
      <c r="IO34" s="177"/>
      <c r="IP34" s="178"/>
      <c r="IQ34" s="179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200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1"/>
      <c r="D36" s="147" t="str">
        <f t="shared" si="0"/>
        <v>8h15min</v>
      </c>
      <c r="E36" s="27">
        <v>99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2"/>
      <c r="EA36" s="188"/>
      <c r="EB36" s="182"/>
      <c r="EC36" s="182"/>
      <c r="ED36" s="182"/>
      <c r="EE36" s="182"/>
      <c r="EF36" s="182"/>
      <c r="EG36" s="185"/>
      <c r="EH36" s="182"/>
      <c r="EI36" s="182"/>
      <c r="EJ36" s="182"/>
      <c r="EK36" s="182"/>
      <c r="EL36" s="182"/>
      <c r="EM36" s="189"/>
      <c r="EN36" s="182"/>
      <c r="EO36" s="182"/>
      <c r="EP36" s="182"/>
      <c r="EQ36" s="182"/>
      <c r="ER36" s="182"/>
      <c r="ES36" s="185"/>
      <c r="ET36" s="182"/>
      <c r="EU36" s="182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187"/>
      <c r="GF36" s="187"/>
      <c r="GG36" s="187"/>
      <c r="GH36" s="182"/>
      <c r="GI36" s="188"/>
      <c r="GJ36" s="182"/>
      <c r="GK36" s="182"/>
      <c r="GL36" s="182"/>
      <c r="GM36" s="182"/>
      <c r="GN36" s="182"/>
      <c r="GO36" s="185"/>
      <c r="GP36" s="182"/>
      <c r="GQ36" s="182"/>
      <c r="GR36" s="182"/>
      <c r="GS36" s="182"/>
      <c r="GT36" s="182"/>
      <c r="GU36" s="189"/>
      <c r="GV36" s="182"/>
      <c r="GW36" s="182"/>
      <c r="GX36" s="182"/>
      <c r="GY36" s="182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182"/>
      <c r="IS36" s="182"/>
      <c r="IT36" s="182"/>
      <c r="IU36" s="182"/>
      <c r="IV36" s="182"/>
      <c r="IW36" s="185"/>
      <c r="IX36" s="182"/>
      <c r="IY36" s="182"/>
      <c r="IZ36" s="182"/>
      <c r="JA36" s="182"/>
      <c r="JB36" s="182"/>
      <c r="JC36" s="189"/>
      <c r="JD36" s="182"/>
      <c r="JE36" s="182"/>
      <c r="JF36" s="182"/>
      <c r="JG36" s="182"/>
      <c r="JH36" s="182"/>
      <c r="JI36" s="185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186"/>
      <c r="KU36" s="187"/>
      <c r="KV36" s="187"/>
      <c r="KW36" s="187"/>
      <c r="KX36" s="182"/>
      <c r="KY36" s="188"/>
      <c r="KZ36" s="182"/>
      <c r="LA36" s="182"/>
      <c r="LB36" s="182"/>
      <c r="LC36" s="182"/>
      <c r="LD36" s="182"/>
      <c r="LE36" s="185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186"/>
      <c r="NC36" s="187"/>
      <c r="ND36" s="187"/>
      <c r="NE36" s="187"/>
      <c r="NF36" s="182"/>
      <c r="NG36" s="188"/>
      <c r="NH36" s="182"/>
      <c r="NI36" s="182"/>
      <c r="NJ36" s="182"/>
      <c r="NK36" s="182"/>
      <c r="NL36" s="182"/>
      <c r="NM36" s="185"/>
      <c r="NN36" s="182"/>
      <c r="NO36" s="182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200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6"/>
      <c r="D38" s="148" t="str">
        <f t="shared" si="0"/>
        <v>1h50min</v>
      </c>
      <c r="E38" s="35">
        <v>22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178"/>
      <c r="JK38" s="178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178"/>
      <c r="LJ38" s="178"/>
      <c r="LK38" s="181"/>
      <c r="LL38" s="178"/>
      <c r="LM38" s="178"/>
      <c r="LN38" s="178"/>
      <c r="LO38" s="178"/>
      <c r="LP38" s="178"/>
      <c r="LQ38" s="180"/>
      <c r="LR38" s="178"/>
      <c r="LS38" s="178"/>
      <c r="LT38" s="178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178"/>
      <c r="NQ38" s="178"/>
      <c r="NR38" s="178"/>
      <c r="NS38" s="181"/>
      <c r="NT38" s="178"/>
      <c r="NU38" s="178"/>
      <c r="NV38" s="178"/>
      <c r="NW38" s="178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200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200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6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200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200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200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6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200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200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200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200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200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6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200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200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200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200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6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200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1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200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6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200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200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200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20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20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200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200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200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200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200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200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200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7" t="s">
        <v>9</v>
      </c>
      <c r="D95" s="208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9"/>
      <c r="D96" s="210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2" t="s">
        <v>10</v>
      </c>
      <c r="D97" s="203"/>
      <c r="E97" s="118">
        <f>SUM(E16,E18,E20,E22,E24,E26,E28,E30,E32,E34,E36,E38,E40,E42,E44,E46,E48,E50,E52,E54,E56,E58,E60,E62,E64,E66,E68,E70,E72,E74,E76,E78,E80,E82,E84,E86,E88,E90,E92,E94)</f>
        <v>189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4"/>
      <c r="D98" s="205"/>
      <c r="E98" s="122" t="str">
        <f xml:space="preserve"> setValueToTime(E97)</f>
        <v>15h45min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69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0" t="s">
        <v>14</v>
      </c>
      <c r="F3" s="231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32"/>
      <c r="F4" s="233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4"/>
      <c r="F5" s="225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8"/>
      <c r="F12" s="22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0" t="s">
        <v>14</v>
      </c>
      <c r="F15" s="231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32"/>
      <c r="F16" s="233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4"/>
      <c r="F17" s="225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8"/>
      <c r="F24" s="22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0" t="s">
        <v>14</v>
      </c>
      <c r="F27" s="231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32"/>
      <c r="F28" s="233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4"/>
      <c r="F29" s="225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8"/>
      <c r="F36" s="22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0" t="s">
        <v>14</v>
      </c>
      <c r="F39" s="231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32"/>
      <c r="F40" s="233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4"/>
      <c r="F41" s="225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8"/>
      <c r="F48" s="22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0" t="s">
        <v>14</v>
      </c>
      <c r="F51" s="231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32"/>
      <c r="F52" s="233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4"/>
      <c r="F53" s="225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8"/>
      <c r="F60" s="22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0" t="s">
        <v>14</v>
      </c>
      <c r="F63" s="231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32"/>
      <c r="F64" s="233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4"/>
      <c r="F65" s="225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8"/>
      <c r="F72" s="22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0" t="s">
        <v>14</v>
      </c>
      <c r="F75" s="231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32"/>
      <c r="F76" s="233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4"/>
      <c r="F77" s="225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8"/>
      <c r="F84" s="22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0" t="s">
        <v>14</v>
      </c>
      <c r="F87" s="231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32"/>
      <c r="F88" s="233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4"/>
      <c r="F89" s="22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8"/>
      <c r="F96" s="229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6" priority="8" operator="greaterThan">
      <formula>60</formula>
    </cfRule>
  </conditionalFormatting>
  <conditionalFormatting sqref="B84">
    <cfRule type="cellIs" dxfId="15" priority="7" operator="greaterThan">
      <formula>60</formula>
    </cfRule>
  </conditionalFormatting>
  <conditionalFormatting sqref="B72">
    <cfRule type="cellIs" dxfId="14" priority="6" operator="greaterThan">
      <formula>60</formula>
    </cfRule>
  </conditionalFormatting>
  <conditionalFormatting sqref="B60">
    <cfRule type="cellIs" dxfId="13" priority="5" operator="greaterThan">
      <formula>60</formula>
    </cfRule>
  </conditionalFormatting>
  <conditionalFormatting sqref="B48">
    <cfRule type="cellIs" dxfId="12" priority="4" operator="greaterThan">
      <formula>60</formula>
    </cfRule>
  </conditionalFormatting>
  <conditionalFormatting sqref="B36">
    <cfRule type="cellIs" dxfId="11" priority="3" operator="greaterThan">
      <formula>60</formula>
    </cfRule>
  </conditionalFormatting>
  <conditionalFormatting sqref="B24">
    <cfRule type="cellIs" dxfId="10" priority="2" operator="greaterThan">
      <formula>60</formula>
    </cfRule>
  </conditionalFormatting>
  <conditionalFormatting sqref="B12">
    <cfRule type="cellIs" dxfId="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7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6" t="s">
        <v>14</v>
      </c>
      <c r="F3" s="237"/>
      <c r="G3" s="46"/>
    </row>
    <row r="4" spans="1:7" s="52" customFormat="1" x14ac:dyDescent="0.3">
      <c r="A4" s="48" t="s">
        <v>52</v>
      </c>
      <c r="B4" s="49">
        <v>14</v>
      </c>
      <c r="C4" s="152" t="str">
        <f xml:space="preserve"> IF(B4="","",setValueToTime(B4))</f>
        <v>1h10min</v>
      </c>
      <c r="D4" s="50" t="s">
        <v>77</v>
      </c>
      <c r="E4" s="232"/>
      <c r="F4" s="233"/>
      <c r="G4" s="51"/>
    </row>
    <row r="5" spans="1:7" s="52" customFormat="1" x14ac:dyDescent="0.3">
      <c r="A5" s="53" t="s">
        <v>53</v>
      </c>
      <c r="B5" s="54">
        <v>8</v>
      </c>
      <c r="C5" s="153" t="str">
        <f t="shared" ref="C5:C11" si="0" xml:space="preserve"> IF(B5="","",setValueToTime(B5))</f>
        <v>0h40min</v>
      </c>
      <c r="D5" s="55" t="s">
        <v>76</v>
      </c>
      <c r="E5" s="224"/>
      <c r="F5" s="225"/>
      <c r="G5" s="51"/>
    </row>
    <row r="6" spans="1:7" s="52" customFormat="1" x14ac:dyDescent="0.3">
      <c r="A6" s="53" t="s">
        <v>16</v>
      </c>
      <c r="B6" s="54">
        <v>5</v>
      </c>
      <c r="C6" s="153" t="str">
        <f t="shared" si="0"/>
        <v>0h25min</v>
      </c>
      <c r="D6" s="55" t="s">
        <v>75</v>
      </c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6</v>
      </c>
      <c r="C14" s="164"/>
      <c r="D14" s="157" t="s">
        <v>15</v>
      </c>
      <c r="E14" s="158" t="s">
        <v>55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6" t="s">
        <v>14</v>
      </c>
      <c r="F15" s="237"/>
      <c r="G15" s="46"/>
    </row>
    <row r="16" spans="1:7" s="52" customFormat="1" x14ac:dyDescent="0.3">
      <c r="A16" s="48" t="s">
        <v>52</v>
      </c>
      <c r="B16" s="49">
        <v>12</v>
      </c>
      <c r="C16" s="152" t="str">
        <f xml:space="preserve"> IF(B16="","",setValueToTime(B16))</f>
        <v>1h</v>
      </c>
      <c r="D16" s="50" t="s">
        <v>71</v>
      </c>
      <c r="E16" s="232"/>
      <c r="F16" s="233"/>
      <c r="G16" s="51"/>
    </row>
    <row r="17" spans="1:7" s="52" customFormat="1" x14ac:dyDescent="0.3">
      <c r="A17" s="53" t="s">
        <v>16</v>
      </c>
      <c r="B17" s="54">
        <v>2</v>
      </c>
      <c r="C17" s="153" t="str">
        <f t="shared" ref="C17:C23" si="1" xml:space="preserve"> IF(B17="","",setValueToTime(B17))</f>
        <v>0h10min</v>
      </c>
      <c r="D17" s="55" t="s">
        <v>70</v>
      </c>
      <c r="E17" s="224"/>
      <c r="F17" s="225"/>
      <c r="G17" s="51"/>
    </row>
    <row r="18" spans="1:7" s="52" customFormat="1" ht="27" x14ac:dyDescent="0.3">
      <c r="A18" s="53" t="s">
        <v>17</v>
      </c>
      <c r="B18" s="54">
        <v>1</v>
      </c>
      <c r="C18" s="153" t="str">
        <f t="shared" si="1"/>
        <v>0h5min</v>
      </c>
      <c r="D18" s="55"/>
      <c r="E18" s="224"/>
      <c r="F18" s="225"/>
      <c r="G18" s="51"/>
    </row>
    <row r="19" spans="1:7" s="52" customFormat="1" x14ac:dyDescent="0.3">
      <c r="A19" s="53" t="s">
        <v>53</v>
      </c>
      <c r="B19" s="54">
        <v>12</v>
      </c>
      <c r="C19" s="153" t="str">
        <f t="shared" si="1"/>
        <v>1h</v>
      </c>
      <c r="D19" s="55" t="s">
        <v>72</v>
      </c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5</v>
      </c>
      <c r="C26" s="164"/>
      <c r="D26" s="157" t="s">
        <v>15</v>
      </c>
      <c r="E26" s="158" t="s">
        <v>55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6" t="s">
        <v>14</v>
      </c>
      <c r="F27" s="237"/>
      <c r="G27" s="46"/>
    </row>
    <row r="28" spans="1:7" s="52" customFormat="1" x14ac:dyDescent="0.3">
      <c r="A28" s="48" t="s">
        <v>60</v>
      </c>
      <c r="B28" s="49">
        <v>6</v>
      </c>
      <c r="C28" s="152" t="str">
        <f xml:space="preserve"> IF(B28="","",setValueToTime(B28))</f>
        <v>0h30min</v>
      </c>
      <c r="D28" s="50" t="s">
        <v>69</v>
      </c>
      <c r="E28" s="232"/>
      <c r="F28" s="233"/>
      <c r="G28" s="51"/>
    </row>
    <row r="29" spans="1:7" s="52" customFormat="1" x14ac:dyDescent="0.3">
      <c r="A29" s="53" t="s">
        <v>52</v>
      </c>
      <c r="B29" s="54">
        <v>18</v>
      </c>
      <c r="C29" s="153" t="str">
        <f t="shared" ref="C29:C35" si="2" xml:space="preserve"> IF(B29="","",setValueToTime(B29))</f>
        <v>1h30min</v>
      </c>
      <c r="D29" s="55" t="s">
        <v>68</v>
      </c>
      <c r="E29" s="224"/>
      <c r="F29" s="225"/>
      <c r="G29" s="51"/>
    </row>
    <row r="30" spans="1:7" s="52" customFormat="1" x14ac:dyDescent="0.3">
      <c r="A30" s="53" t="s">
        <v>53</v>
      </c>
      <c r="B30" s="54">
        <v>2</v>
      </c>
      <c r="C30" s="153" t="str">
        <f t="shared" si="2"/>
        <v>0h10min</v>
      </c>
      <c r="D30" s="55" t="s">
        <v>67</v>
      </c>
      <c r="E30" s="224"/>
      <c r="F30" s="225"/>
      <c r="G30" s="51"/>
    </row>
    <row r="31" spans="1:7" s="52" customFormat="1" ht="27" x14ac:dyDescent="0.3">
      <c r="A31" s="53" t="s">
        <v>17</v>
      </c>
      <c r="B31" s="54">
        <v>1</v>
      </c>
      <c r="C31" s="153" t="str">
        <f t="shared" si="2"/>
        <v>0h5min</v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4</v>
      </c>
      <c r="C38" s="164"/>
      <c r="D38" s="157" t="s">
        <v>15</v>
      </c>
      <c r="E38" s="158" t="s">
        <v>55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36" t="s">
        <v>14</v>
      </c>
      <c r="F39" s="237"/>
      <c r="G39" s="46"/>
    </row>
    <row r="40" spans="1:7" s="52" customFormat="1" ht="27" x14ac:dyDescent="0.3">
      <c r="A40" s="48" t="s">
        <v>17</v>
      </c>
      <c r="B40" s="49">
        <v>1</v>
      </c>
      <c r="C40" s="152" t="str">
        <f xml:space="preserve"> IF(B40="","",setValueToTime(B40))</f>
        <v>0h5min</v>
      </c>
      <c r="D40" s="50"/>
      <c r="E40" s="232"/>
      <c r="F40" s="233"/>
      <c r="G40" s="51"/>
    </row>
    <row r="41" spans="1:7" s="52" customFormat="1" x14ac:dyDescent="0.3">
      <c r="A41" s="53" t="s">
        <v>52</v>
      </c>
      <c r="B41" s="54">
        <v>21</v>
      </c>
      <c r="C41" s="153" t="str">
        <f t="shared" ref="C41:C47" si="3" xml:space="preserve"> IF(B41="","",setValueToTime(B41))</f>
        <v>1h45min</v>
      </c>
      <c r="D41" s="55" t="s">
        <v>66</v>
      </c>
      <c r="E41" s="224"/>
      <c r="F41" s="225"/>
      <c r="G41" s="51"/>
    </row>
    <row r="42" spans="1:7" s="52" customFormat="1" x14ac:dyDescent="0.3">
      <c r="A42" s="53" t="s">
        <v>60</v>
      </c>
      <c r="B42" s="54">
        <v>5</v>
      </c>
      <c r="C42" s="153" t="str">
        <f t="shared" si="3"/>
        <v>0h25min</v>
      </c>
      <c r="D42" s="55" t="s">
        <v>65</v>
      </c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3</v>
      </c>
      <c r="C50" s="164"/>
      <c r="D50" s="157" t="s">
        <v>15</v>
      </c>
      <c r="E50" s="158" t="s">
        <v>55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36" t="s">
        <v>14</v>
      </c>
      <c r="F51" s="237"/>
      <c r="G51" s="46"/>
    </row>
    <row r="52" spans="1:7" s="52" customFormat="1" x14ac:dyDescent="0.3">
      <c r="A52" s="48" t="s">
        <v>52</v>
      </c>
      <c r="B52" s="49">
        <v>26</v>
      </c>
      <c r="C52" s="152" t="str">
        <f xml:space="preserve"> IF(B52="","",setValueToTime(B52))</f>
        <v>2h10min</v>
      </c>
      <c r="D52" s="50" t="s">
        <v>64</v>
      </c>
      <c r="E52" s="232"/>
      <c r="F52" s="233"/>
      <c r="G52" s="51"/>
    </row>
    <row r="53" spans="1:7" s="52" customFormat="1" ht="27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4"/>
      <c r="F53" s="225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34"/>
      <c r="F60" s="23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</v>
      </c>
      <c r="C62" s="164"/>
      <c r="D62" s="157" t="s">
        <v>15</v>
      </c>
      <c r="E62" s="158" t="s">
        <v>55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36" t="s">
        <v>14</v>
      </c>
      <c r="F63" s="237"/>
      <c r="G63" s="46"/>
    </row>
    <row r="64" spans="1:7" s="52" customFormat="1" ht="27" x14ac:dyDescent="0.3">
      <c r="A64" s="48" t="s">
        <v>17</v>
      </c>
      <c r="B64" s="49">
        <v>1</v>
      </c>
      <c r="C64" s="152" t="str">
        <f xml:space="preserve"> IF(B64="","",setValueToTime(B64))</f>
        <v>0h5min</v>
      </c>
      <c r="D64" s="50"/>
      <c r="E64" s="232"/>
      <c r="F64" s="233"/>
      <c r="G64" s="51"/>
    </row>
    <row r="65" spans="1:7" s="52" customFormat="1" x14ac:dyDescent="0.3">
      <c r="A65" s="53" t="s">
        <v>60</v>
      </c>
      <c r="B65" s="54">
        <v>18</v>
      </c>
      <c r="C65" s="153" t="str">
        <f t="shared" ref="C65:C71" si="5" xml:space="preserve"> IF(B65="","",setValueToTime(B65))</f>
        <v>1h30min</v>
      </c>
      <c r="D65" s="55"/>
      <c r="E65" s="224"/>
      <c r="F65" s="225"/>
      <c r="G65" s="51"/>
    </row>
    <row r="66" spans="1:7" s="52" customFormat="1" x14ac:dyDescent="0.3">
      <c r="A66" s="53" t="s">
        <v>52</v>
      </c>
      <c r="B66" s="54">
        <v>8</v>
      </c>
      <c r="C66" s="153" t="str">
        <f t="shared" si="5"/>
        <v>0h40min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62" t="s">
        <v>29</v>
      </c>
      <c r="B72" s="83">
        <f>SUM(B64:B71)</f>
        <v>27</v>
      </c>
      <c r="C72" s="162" t="str">
        <f xml:space="preserve"> setValueToTime(B72)</f>
        <v>2h15min</v>
      </c>
      <c r="D72" s="121"/>
      <c r="E72" s="234"/>
      <c r="F72" s="235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1</v>
      </c>
      <c r="C74" s="164"/>
      <c r="D74" s="157" t="s">
        <v>15</v>
      </c>
      <c r="E74" s="158">
        <v>45532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36" t="s">
        <v>14</v>
      </c>
      <c r="F75" s="237"/>
      <c r="G75" s="46"/>
    </row>
    <row r="76" spans="1:7" s="52" customFormat="1" x14ac:dyDescent="0.3">
      <c r="A76" s="48" t="s">
        <v>60</v>
      </c>
      <c r="B76" s="49">
        <v>20</v>
      </c>
      <c r="C76" s="152" t="str">
        <f xml:space="preserve"> IF(B76="","",setValueToTime(B76))</f>
        <v>1h40min</v>
      </c>
      <c r="D76" s="50" t="s">
        <v>61</v>
      </c>
      <c r="E76" s="232"/>
      <c r="F76" s="233"/>
      <c r="G76" s="51"/>
    </row>
    <row r="77" spans="1:7" s="52" customFormat="1" ht="27" x14ac:dyDescent="0.3">
      <c r="A77" s="53" t="s">
        <v>17</v>
      </c>
      <c r="B77" s="54">
        <v>4</v>
      </c>
      <c r="C77" s="153" t="str">
        <f t="shared" ref="C77:C83" si="6" xml:space="preserve"> IF(B77="","",setValueToTime(B77))</f>
        <v>0h20min</v>
      </c>
      <c r="D77" s="55" t="s">
        <v>62</v>
      </c>
      <c r="E77" s="224"/>
      <c r="F77" s="225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62" t="s">
        <v>29</v>
      </c>
      <c r="B84" s="83">
        <f>SUM(B76:B83)</f>
        <v>27</v>
      </c>
      <c r="C84" s="162" t="str">
        <f xml:space="preserve"> setValueToTime(B84)</f>
        <v>2h15min</v>
      </c>
      <c r="D84" s="121"/>
      <c r="E84" s="234"/>
      <c r="F84" s="235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 xr:uid="{102994D9-AA17-4E67-AC14-438B01A84798}">
      <formula1>0</formula1>
      <formula2>60</formula2>
    </dataValidation>
    <dataValidation type="list" allowBlank="1" showInputMessage="1" showErrorMessage="1" sqref="A76:A83 A64:A71 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12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36</v>
      </c>
      <c r="F14" s="198"/>
      <c r="G14" s="198"/>
      <c r="H14" s="198"/>
      <c r="I14" s="104"/>
      <c r="J14" s="104"/>
      <c r="K14" s="199" t="s">
        <v>24</v>
      </c>
      <c r="L14" s="199"/>
      <c r="M14" s="199"/>
      <c r="N14" s="199"/>
      <c r="O14" s="129"/>
      <c r="P14" s="129"/>
      <c r="Q14" s="198" t="s">
        <v>37</v>
      </c>
      <c r="R14" s="198"/>
      <c r="S14" s="198"/>
      <c r="T14" s="198"/>
      <c r="U14" s="104"/>
      <c r="V14" s="104"/>
      <c r="W14" s="199" t="s">
        <v>25</v>
      </c>
      <c r="X14" s="199"/>
      <c r="Y14" s="199"/>
      <c r="Z14" s="199"/>
      <c r="AA14" s="129"/>
      <c r="AB14" s="129"/>
      <c r="AC14" s="198" t="s">
        <v>38</v>
      </c>
      <c r="AD14" s="198"/>
      <c r="AE14" s="198"/>
      <c r="AF14" s="198"/>
      <c r="AG14" s="104"/>
      <c r="AH14" s="104"/>
      <c r="AI14" s="199" t="s">
        <v>26</v>
      </c>
      <c r="AJ14" s="199"/>
      <c r="AK14" s="199"/>
      <c r="AL14" s="199"/>
      <c r="AM14" s="129"/>
      <c r="AN14" s="129"/>
      <c r="AO14" s="198" t="s">
        <v>39</v>
      </c>
      <c r="AP14" s="198"/>
      <c r="AQ14" s="198"/>
      <c r="AR14" s="198"/>
      <c r="AS14" s="104"/>
      <c r="AT14" s="104"/>
      <c r="AU14" s="199" t="s">
        <v>27</v>
      </c>
      <c r="AV14" s="199"/>
      <c r="AW14" s="199"/>
      <c r="AX14" s="199"/>
      <c r="AY14" s="129"/>
      <c r="AZ14" s="129"/>
      <c r="BA14" s="198" t="s">
        <v>40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0" t="s">
        <v>14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8"/>
      <c r="F11" s="22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6" t="s">
        <v>14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2024-10-28T14:42:29Z</dcterms:modified>
</cp:coreProperties>
</file>