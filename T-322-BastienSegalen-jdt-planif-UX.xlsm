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rojets\shoot-me-up\bastien-shoot-me-up\"/>
    </mc:Choice>
  </mc:AlternateContent>
  <xr:revisionPtr revIDLastSave="0" documentId="13_ncr:1_{346BBCBF-5EF6-476C-AE0D-E1E57CDA1C20}" xr6:coauthVersionLast="47" xr6:coauthVersionMax="47" xr10:uidLastSave="{00000000-0000-0000-0000-000000000000}"/>
  <bookViews>
    <workbookView xWindow="3075" yWindow="3075" windowWidth="21600" windowHeight="11385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B24" i="10"/>
  <c r="B12" i="10"/>
  <c r="C11" i="10"/>
  <c r="C10" i="10"/>
  <c r="C9" i="10"/>
  <c r="C8" i="10"/>
  <c r="C7" i="10"/>
  <c r="C23" i="10"/>
  <c r="C22" i="10"/>
  <c r="C21" i="10"/>
  <c r="B36" i="10"/>
  <c r="C35" i="10"/>
  <c r="C34" i="10"/>
  <c r="C33" i="10"/>
  <c r="B48" i="10"/>
  <c r="C47" i="10"/>
  <c r="C46" i="10"/>
  <c r="C45" i="10"/>
  <c r="B60" i="10"/>
  <c r="C59" i="10"/>
  <c r="C58" i="10"/>
  <c r="C57" i="10"/>
  <c r="B72" i="10"/>
  <c r="C71" i="10"/>
  <c r="C70" i="10"/>
  <c r="C69" i="10"/>
  <c r="B84" i="10"/>
  <c r="C83" i="10"/>
  <c r="C82" i="10"/>
  <c r="B24" i="12"/>
  <c r="C23" i="12"/>
  <c r="C22" i="12"/>
  <c r="C21" i="12"/>
  <c r="C20" i="12"/>
  <c r="C19" i="12"/>
  <c r="B96" i="10"/>
  <c r="C95" i="10"/>
  <c r="C94" i="10"/>
  <c r="C93" i="10"/>
  <c r="C92" i="10"/>
  <c r="C91" i="10"/>
  <c r="C9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81" i="10"/>
  <c r="C31" i="10"/>
  <c r="C79" i="10"/>
  <c r="C67" i="10"/>
  <c r="C43" i="10"/>
  <c r="C55" i="10"/>
  <c r="C19" i="10"/>
  <c r="C44" i="10"/>
  <c r="C56" i="10"/>
  <c r="C68" i="10"/>
  <c r="C32" i="10"/>
  <c r="C20" i="10"/>
  <c r="C80" i="10"/>
  <c r="C76" i="10"/>
  <c r="C89" i="10"/>
  <c r="D93" i="1"/>
  <c r="D61" i="1"/>
  <c r="D29" i="1"/>
  <c r="D78" i="1"/>
  <c r="D46" i="1"/>
  <c r="C6" i="12"/>
  <c r="D27" i="1"/>
  <c r="C4" i="12"/>
  <c r="D68" i="1"/>
  <c r="C48" i="10"/>
  <c r="C17" i="10"/>
  <c r="D91" i="1"/>
  <c r="D59" i="1"/>
  <c r="D76" i="1"/>
  <c r="D44" i="1"/>
  <c r="C5" i="12"/>
  <c r="D57" i="1"/>
  <c r="C11" i="15"/>
  <c r="C12" i="10"/>
  <c r="C4" i="10"/>
  <c r="D87" i="1"/>
  <c r="D55" i="1"/>
  <c r="D23" i="1"/>
  <c r="D72" i="1"/>
  <c r="D40" i="1"/>
  <c r="C12" i="12"/>
  <c r="D51" i="1"/>
  <c r="C96" i="10"/>
  <c r="D81" i="1"/>
  <c r="D49" i="1"/>
  <c r="D17" i="1"/>
  <c r="D66" i="1"/>
  <c r="D34" i="1"/>
  <c r="C17" i="12"/>
  <c r="C6" i="10"/>
  <c r="D79" i="1"/>
  <c r="D47" i="1"/>
  <c r="D15" i="1"/>
  <c r="D64" i="1"/>
  <c r="D32" i="1"/>
  <c r="C24" i="12"/>
  <c r="D71" i="1"/>
  <c r="D56" i="1"/>
  <c r="C28" i="10"/>
  <c r="D65" i="1"/>
  <c r="D85" i="1"/>
  <c r="D53" i="1"/>
  <c r="D70" i="1"/>
  <c r="C16" i="12"/>
  <c r="C65" i="10"/>
  <c r="D69" i="1"/>
  <c r="D54" i="1"/>
  <c r="D22" i="1"/>
  <c r="D84" i="1"/>
  <c r="D20" i="1"/>
  <c r="C52" i="10"/>
  <c r="D50" i="1"/>
  <c r="C60" i="10"/>
  <c r="D19" i="1"/>
  <c r="C72" i="10"/>
  <c r="D77" i="1"/>
  <c r="D45" i="1"/>
  <c r="D94" i="1"/>
  <c r="D62" i="1"/>
  <c r="D30" i="1"/>
  <c r="D58" i="1"/>
  <c r="C41" i="10"/>
  <c r="C5" i="10"/>
  <c r="D39" i="1"/>
  <c r="C78" i="10"/>
  <c r="D37" i="1"/>
  <c r="D21" i="1"/>
  <c r="D38" i="1"/>
  <c r="C18" i="10"/>
  <c r="C66" i="10"/>
  <c r="D75" i="1"/>
  <c r="D43" i="1"/>
  <c r="D92" i="1"/>
  <c r="D60" i="1"/>
  <c r="D28" i="1"/>
  <c r="D41" i="1"/>
  <c r="D90" i="1"/>
  <c r="D26" i="1"/>
  <c r="C16" i="10"/>
  <c r="D88" i="1"/>
  <c r="D24" i="1"/>
  <c r="D86" i="1"/>
  <c r="D33" i="1"/>
  <c r="D82" i="1"/>
  <c r="D18" i="1"/>
  <c r="D25" i="1"/>
  <c r="D74" i="1"/>
  <c r="D42" i="1"/>
  <c r="D83" i="1"/>
  <c r="C42" i="10"/>
  <c r="C54" i="10"/>
  <c r="D73" i="1"/>
  <c r="C11" i="16"/>
  <c r="C18" i="12"/>
  <c r="C40" i="10"/>
  <c r="C30" i="10"/>
  <c r="D67" i="1"/>
  <c r="D35" i="1"/>
  <c r="D52" i="1"/>
  <c r="C36" i="10"/>
  <c r="C77" i="10"/>
  <c r="C29" i="10"/>
  <c r="D36" i="1"/>
  <c r="C64" i="10"/>
  <c r="C24" i="10"/>
  <c r="C84" i="10"/>
  <c r="D63" i="1"/>
  <c r="D31" i="1"/>
  <c r="D80" i="1"/>
  <c r="D48" i="1"/>
  <c r="D16" i="1"/>
  <c r="C88" i="10"/>
  <c r="D89" i="1"/>
  <c r="C53" i="10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<sst xmlns="http://schemas.openxmlformats.org/spreadsheetml/2006/main" count="329" uniqueCount="66">
  <si>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</si>
  <si>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</si>
  <si>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</si>
  <si>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</si>
  <si>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</si>
  <si>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</si>
  <si>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</si>
  <si>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</si>
  <si>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</si>
  <si>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</si>
  <si>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</si>
  <si>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</si>
  <si>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</si>
  <si>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</si>
  <si>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</si>
  <si>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</si>
  <si>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</si>
  <si>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</si>
  <si>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</si>
  <si>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</si>
  <si>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</si>
  <si>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</si>
  <si>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</si>
  <si>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</si>
  <si>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</si>
  <si>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</si>
  <si>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</si>
  <si>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</si>
  <si>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</si>
  <si>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</si>
  <si>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</si>
  <si>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</si>
  <si>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</si>
  <si>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</si>
  <si>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</si>
  <si>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</si>
  <si>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</si>
  <si>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</si>
  <si>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</si>
  <si>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</si>
  <si>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</si>
  <si>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</si>
  <si>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</si>
  <si>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106-320-322</t>
  </si>
  <si>
    <t>Bastien Segalen</t>
  </si>
  <si>
    <t>MID2B</t>
  </si>
  <si>
    <t>Du 28.08.2024 au 01.11.2024</t>
  </si>
  <si>
    <t>MCD/MLD</t>
  </si>
  <si>
    <t>créer les fichiers demandé</t>
  </si>
  <si>
    <t>créer les MCD</t>
  </si>
  <si>
    <t>aider les autres</t>
  </si>
  <si>
    <t>mercredi, 28 août 2024</t>
  </si>
  <si>
    <t>ux - wireframe</t>
  </si>
  <si>
    <t>ux - maquette</t>
  </si>
  <si>
    <t>Séquence 4</t>
  </si>
  <si>
    <t>vendredi, 30 août 2024</t>
  </si>
  <si>
    <t>Séquence 8</t>
  </si>
  <si>
    <t>Séquence 7</t>
  </si>
  <si>
    <t>Séquence 6</t>
  </si>
  <si>
    <t>Séquence 5</t>
  </si>
  <si>
    <t>ux - personnas</t>
  </si>
  <si>
    <t>création des personnas</t>
  </si>
  <si>
    <t>separation du jdt en 3 (db, poo, ux)</t>
  </si>
  <si>
    <t>3h50min</t>
  </si>
  <si>
    <t>0h40min</t>
  </si>
  <si>
    <t>- 3h10min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</si>
</sst>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4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22" xfId="0" applyFont="1" applyFill="1" applyBorder="1"/>
    <xf numFmtId="0" fontId="2" fillId="17" borderId="57" xfId="0" applyFont="1" applyFill="1" applyBorder="1"/>
    <xf numFmtId="0" fontId="2" fillId="17" borderId="80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7" borderId="75" xfId="0" applyFont="1" applyFill="1" applyBorder="1"/>
    <xf numFmtId="0" fontId="2" fillId="19" borderId="27" xfId="0" applyFont="1" applyFill="1" applyBorder="1" applyProtection="1"/>
    <xf numFmtId="0" fontId="2" fillId="19" borderId="28" xfId="0" applyFont="1" applyFill="1" applyBorder="1" applyProtection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6" xfId="0" applyFont="1" applyFill="1" applyBorder="1"/>
    <xf numFmtId="0" fontId="2" fillId="19" borderId="19" xfId="0" applyFont="1" applyFill="1" applyBorder="1"/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9" borderId="77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0.75</c:v>
              </c:pt>
              <c:pt idx="2">
                <c:v>0</c:v>
              </c:pt>
              <c:pt idx="3">
                <c:v>0.57999998331069946</c:v>
              </c:pt>
              <c:pt idx="4">
                <c:v>2.5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0.41999998688697815</c:v>
              </c:pt>
              <c:pt idx="4">
                <c:v>0.25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443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86" t="s">
        <v>34</v>
      </c>
      <c r="C35" s="186"/>
      <c r="D35" s="186"/>
      <c r="E35" s="107" t="s">
        <v>63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87" t="s">
        <v>35</v>
      </c>
      <c r="C37" s="187"/>
      <c r="D37" s="187"/>
      <c r="E37" s="109" t="s">
        <v>64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74" t="s">
        <v>65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R99"/>
  <sheetViews>
    <sheetView showGridLines="0" tabSelected="1" topLeftCell="A13" zoomScale="70" zoomScaleNormal="70" zoomScaleSheetLayoutView="43" workbookViewId="0">
      <selection activeCell="F94" sqref="F94:RQ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196" t="s">
        <v>31</v>
      </c>
      <c r="D1" s="196"/>
      <c r="E1" s="196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197"/>
      <c r="D7" s="197"/>
      <c r="E7" s="197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201" t="str">
        <f>E96</f>
        <v>16h30min</v>
      </c>
      <c r="H9" s="201"/>
      <c r="I9" s="201"/>
      <c r="J9" s="201"/>
      <c r="K9" s="201"/>
      <c r="L9" s="201"/>
      <c r="M9" s="201"/>
      <c r="N9" s="201"/>
      <c r="O9" s="201"/>
      <c r="P9" s="201"/>
      <c r="Q9" s="201"/>
      <c r="R9" s="201"/>
      <c r="S9" s="201"/>
      <c r="T9" s="201"/>
      <c r="U9" s="201"/>
      <c r="V9" s="119"/>
      <c r="W9" s="210" t="s">
        <v>23</v>
      </c>
      <c r="X9" s="210"/>
      <c r="Y9" s="210"/>
      <c r="Z9" s="210"/>
      <c r="AA9" s="210"/>
      <c r="AB9" s="210"/>
      <c r="AC9" s="210"/>
      <c r="AD9" s="210"/>
      <c r="AE9" s="210"/>
      <c r="AF9" s="210"/>
      <c r="AG9" s="210"/>
      <c r="AH9" s="201" t="str">
        <f>E98</f>
        <v>4h30min</v>
      </c>
      <c r="AI9" s="201"/>
      <c r="AJ9" s="201"/>
      <c r="AK9" s="201"/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1"/>
      <c r="AW9" s="201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11"/>
      <c r="BO10" s="211"/>
      <c r="BP10" s="211"/>
      <c r="BQ10" s="211"/>
      <c r="BR10" s="211"/>
      <c r="BS10" s="211"/>
      <c r="BT10" s="211"/>
      <c r="BU10" s="211"/>
      <c r="BV10" s="211"/>
      <c r="BW10" s="211"/>
      <c r="BX10" s="211"/>
      <c r="BY10" s="211"/>
      <c r="BZ10" s="211"/>
      <c r="CA10" s="211"/>
      <c r="CB10" s="211"/>
      <c r="CC10" s="211"/>
      <c r="CD10" s="211"/>
      <c r="CE10" s="211"/>
      <c r="CF10" s="211"/>
      <c r="CG10" s="211"/>
      <c r="CH10" s="211"/>
      <c r="CI10" s="211"/>
      <c r="CJ10" s="211"/>
      <c r="CK10" s="211"/>
      <c r="CL10" s="211"/>
      <c r="CM10" s="211"/>
      <c r="CN10" s="211"/>
      <c r="CO10" s="211"/>
      <c r="CP10" s="211"/>
      <c r="CQ10" s="92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  <c r="FA10" s="188"/>
      <c r="FB10" s="188"/>
      <c r="FC10" s="188"/>
      <c r="FD10" s="188"/>
      <c r="FE10" s="188"/>
      <c r="FF10" s="188"/>
      <c r="FG10" s="188"/>
      <c r="FH10" s="188"/>
      <c r="FI10" s="188"/>
      <c r="FJ10" s="188"/>
      <c r="FK10" s="188"/>
      <c r="FL10" s="188"/>
      <c r="FM10" s="188"/>
      <c r="FN10" s="188"/>
      <c r="FO10" s="188"/>
      <c r="FP10" s="188"/>
      <c r="FQ10" s="188"/>
      <c r="FR10" s="188"/>
      <c r="FS10" s="188"/>
      <c r="FT10" s="188"/>
      <c r="FU10" s="188"/>
      <c r="FV10" s="188"/>
      <c r="FW10" s="188"/>
      <c r="FX10" s="188"/>
      <c r="FY10" s="188"/>
      <c r="FZ10" s="188"/>
      <c r="GA10" s="188"/>
      <c r="GB10" s="188"/>
      <c r="GC10" s="188"/>
      <c r="GD10" s="188"/>
      <c r="GE10" s="188"/>
      <c r="GF10" s="188"/>
      <c r="GG10" s="188"/>
      <c r="GH10" s="188"/>
      <c r="GI10" s="188"/>
      <c r="GJ10" s="188"/>
      <c r="GK10" s="188"/>
      <c r="GL10" s="188"/>
      <c r="GM10" s="188"/>
      <c r="GN10" s="188"/>
      <c r="GO10" s="188"/>
      <c r="GP10" s="188"/>
      <c r="GQ10" s="188"/>
      <c r="GR10" s="188"/>
      <c r="GS10" s="188"/>
      <c r="GT10" s="188"/>
      <c r="GU10" s="188"/>
      <c r="GV10" s="188"/>
      <c r="GW10" s="188"/>
      <c r="GX10" s="188"/>
      <c r="GY10" s="188"/>
      <c r="GZ10" s="188"/>
      <c r="HA10" s="188"/>
      <c r="HB10" s="188"/>
      <c r="HC10" s="188"/>
      <c r="HD10" s="188"/>
      <c r="HE10" s="188"/>
      <c r="HF10" s="188"/>
      <c r="HG10" s="188"/>
      <c r="HH10" s="188"/>
      <c r="HI10" s="188"/>
      <c r="HJ10" s="188"/>
      <c r="HK10" s="188"/>
      <c r="HL10" s="188"/>
      <c r="HM10" s="188"/>
      <c r="HN10" s="188"/>
      <c r="HO10" s="188"/>
      <c r="HP10" s="188"/>
      <c r="HQ10" s="188"/>
      <c r="HR10" s="188"/>
      <c r="HS10" s="188"/>
      <c r="HT10" s="188"/>
      <c r="HU10" s="188"/>
      <c r="HV10" s="188"/>
      <c r="HW10" s="188"/>
      <c r="HX10" s="188"/>
      <c r="HY10" s="188"/>
      <c r="HZ10" s="188"/>
      <c r="IA10" s="188"/>
      <c r="IB10" s="188"/>
      <c r="IC10" s="188"/>
      <c r="ID10" s="188"/>
      <c r="IE10" s="188"/>
      <c r="IF10" s="188"/>
      <c r="IG10" s="188"/>
      <c r="IH10" s="188"/>
      <c r="II10" s="188"/>
      <c r="IJ10" s="188"/>
      <c r="IK10" s="188"/>
      <c r="IL10" s="188"/>
      <c r="IM10" s="188"/>
      <c r="IN10" s="188"/>
      <c r="IO10" s="188"/>
      <c r="IP10" s="188"/>
      <c r="IQ10" s="188"/>
      <c r="IR10" s="188"/>
      <c r="IS10" s="188"/>
      <c r="IT10" s="188"/>
      <c r="IU10" s="188"/>
      <c r="IV10" s="188"/>
      <c r="IW10" s="188"/>
      <c r="IX10" s="188"/>
      <c r="IY10" s="188"/>
      <c r="IZ10" s="188"/>
      <c r="JA10" s="188"/>
      <c r="JB10" s="188"/>
      <c r="JC10" s="188"/>
      <c r="JD10" s="188"/>
      <c r="JE10" s="188"/>
      <c r="JF10" s="188"/>
      <c r="JG10" s="188"/>
      <c r="JH10" s="188"/>
      <c r="JI10" s="188"/>
      <c r="JJ10" s="188"/>
      <c r="JK10" s="188"/>
      <c r="JL10" s="188"/>
      <c r="JM10" s="188"/>
      <c r="JN10" s="188"/>
      <c r="JO10" s="188"/>
      <c r="JP10" s="188"/>
      <c r="JQ10" s="188"/>
      <c r="JR10" s="188"/>
      <c r="JS10" s="188"/>
      <c r="JT10" s="188"/>
      <c r="JU10" s="188"/>
      <c r="JV10" s="188"/>
      <c r="JW10" s="188"/>
      <c r="JX10" s="188"/>
      <c r="JY10" s="188"/>
      <c r="JZ10" s="188"/>
      <c r="KA10" s="188"/>
      <c r="KB10" s="188"/>
      <c r="KC10" s="188"/>
      <c r="KD10" s="188"/>
      <c r="KE10" s="188"/>
      <c r="KF10" s="188"/>
      <c r="KG10" s="188"/>
      <c r="KH10" s="188"/>
      <c r="KI10" s="188"/>
      <c r="KJ10" s="188"/>
      <c r="KK10" s="188"/>
      <c r="KL10" s="188"/>
      <c r="KM10" s="188"/>
      <c r="KN10" s="188"/>
      <c r="KO10" s="188"/>
      <c r="KP10" s="188"/>
      <c r="KQ10" s="188"/>
      <c r="KR10" s="188"/>
      <c r="KS10" s="188"/>
      <c r="KT10" s="188"/>
      <c r="KU10" s="188"/>
      <c r="KV10" s="188"/>
      <c r="KW10" s="188"/>
      <c r="KX10" s="188"/>
      <c r="KY10" s="188"/>
      <c r="KZ10" s="188"/>
      <c r="LA10" s="188"/>
      <c r="LB10" s="188"/>
      <c r="LC10" s="188"/>
      <c r="LD10" s="188"/>
      <c r="LE10" s="188"/>
      <c r="LF10" s="188"/>
      <c r="LG10" s="188"/>
      <c r="LH10" s="188"/>
      <c r="LI10" s="188"/>
      <c r="LJ10" s="188"/>
      <c r="LK10" s="188"/>
      <c r="LL10" s="188"/>
      <c r="LM10" s="188"/>
      <c r="LN10" s="188"/>
      <c r="LO10" s="188"/>
      <c r="LP10" s="188"/>
      <c r="LQ10" s="188"/>
      <c r="LR10" s="188"/>
      <c r="LS10" s="188"/>
      <c r="LT10" s="188"/>
      <c r="LU10" s="188"/>
      <c r="LV10" s="188"/>
      <c r="LW10" s="188"/>
      <c r="LX10" s="188"/>
      <c r="LY10" s="188"/>
      <c r="LZ10" s="188"/>
      <c r="MA10" s="188"/>
      <c r="MB10" s="188"/>
      <c r="MC10" s="188"/>
      <c r="MD10" s="188"/>
      <c r="ME10" s="188"/>
      <c r="MF10" s="188"/>
      <c r="MG10" s="188"/>
      <c r="MH10" s="188"/>
      <c r="MI10" s="188"/>
      <c r="MJ10" s="188"/>
      <c r="MK10" s="188"/>
      <c r="ML10" s="188"/>
      <c r="MM10" s="188"/>
      <c r="MN10" s="188"/>
      <c r="MO10" s="188"/>
      <c r="MP10" s="188"/>
      <c r="MQ10" s="188"/>
      <c r="MR10" s="188"/>
      <c r="MS10" s="188"/>
      <c r="MT10" s="188"/>
      <c r="MU10" s="188"/>
      <c r="MV10" s="188"/>
      <c r="MW10" s="188"/>
      <c r="MX10" s="188"/>
      <c r="MY10" s="188"/>
      <c r="MZ10" s="188"/>
      <c r="NA10" s="188"/>
      <c r="NB10" s="188"/>
      <c r="NC10" s="188"/>
      <c r="ND10" s="188"/>
      <c r="NE10" s="188"/>
      <c r="NF10" s="188"/>
      <c r="NG10" s="188"/>
      <c r="NH10" s="188"/>
      <c r="NI10" s="188"/>
      <c r="NJ10" s="188"/>
      <c r="NK10" s="188"/>
      <c r="NL10" s="188"/>
      <c r="NM10" s="188"/>
      <c r="NN10" s="188"/>
      <c r="NO10" s="188"/>
      <c r="NP10" s="188"/>
      <c r="NQ10" s="188"/>
      <c r="NR10" s="188"/>
      <c r="NS10" s="188"/>
      <c r="NT10" s="188"/>
      <c r="NU10" s="188"/>
      <c r="NV10" s="188"/>
      <c r="NW10" s="188"/>
      <c r="NX10" s="188"/>
      <c r="NY10" s="188"/>
      <c r="NZ10" s="188"/>
      <c r="OA10" s="188"/>
      <c r="OB10" s="188"/>
      <c r="OC10" s="188"/>
      <c r="OD10" s="188"/>
      <c r="OE10" s="188"/>
      <c r="OF10" s="188"/>
      <c r="OG10" s="188"/>
      <c r="OH10" s="188"/>
      <c r="OI10" s="188"/>
      <c r="OJ10" s="188"/>
      <c r="OK10" s="188"/>
      <c r="OL10" s="188"/>
      <c r="OM10" s="188"/>
      <c r="ON10" s="188"/>
      <c r="OO10" s="188"/>
      <c r="OP10" s="188"/>
      <c r="OQ10" s="188"/>
      <c r="OR10" s="188"/>
      <c r="OS10" s="188"/>
      <c r="OT10" s="188"/>
      <c r="OU10" s="188"/>
      <c r="OV10" s="188"/>
      <c r="OW10" s="188"/>
      <c r="OX10" s="188"/>
      <c r="OY10" s="188"/>
      <c r="OZ10" s="188"/>
      <c r="PA10" s="188"/>
      <c r="PB10" s="188"/>
      <c r="PC10" s="188"/>
      <c r="PD10" s="188"/>
      <c r="PE10" s="188"/>
      <c r="PF10" s="188"/>
      <c r="PG10" s="188"/>
      <c r="PH10" s="188"/>
      <c r="PI10" s="188"/>
      <c r="PJ10" s="188"/>
      <c r="PK10" s="188"/>
      <c r="PL10" s="188"/>
      <c r="PM10" s="188"/>
      <c r="PN10" s="188"/>
      <c r="PO10" s="188"/>
      <c r="PP10" s="188"/>
      <c r="PQ10" s="188"/>
      <c r="PR10" s="188"/>
      <c r="PS10" s="188"/>
      <c r="PT10" s="188"/>
      <c r="PU10" s="188"/>
      <c r="PV10" s="188"/>
      <c r="PW10" s="188"/>
      <c r="PX10" s="188"/>
      <c r="PY10" s="188"/>
      <c r="PZ10" s="188"/>
      <c r="QA10" s="188"/>
      <c r="QB10" s="188"/>
      <c r="QC10" s="188"/>
      <c r="QD10" s="188"/>
      <c r="QE10" s="188"/>
      <c r="QF10" s="188"/>
      <c r="QG10" s="188"/>
      <c r="QH10" s="188"/>
      <c r="QI10" s="188"/>
      <c r="QJ10" s="188"/>
      <c r="QK10" s="188"/>
      <c r="QL10" s="188"/>
      <c r="QM10" s="188"/>
      <c r="QN10" s="188"/>
      <c r="QO10" s="188"/>
      <c r="QP10" s="188"/>
      <c r="QQ10" s="188"/>
      <c r="QR10" s="188"/>
      <c r="QS10" s="188"/>
      <c r="QT10" s="188"/>
      <c r="QU10" s="188"/>
      <c r="QV10" s="188"/>
      <c r="QW10" s="188"/>
      <c r="QX10" s="188"/>
      <c r="QY10" s="188"/>
      <c r="QZ10" s="188"/>
      <c r="RA10" s="188"/>
      <c r="RB10" s="188"/>
      <c r="RC10" s="188"/>
      <c r="RD10" s="188"/>
      <c r="RE10" s="188"/>
      <c r="RF10" s="188"/>
      <c r="RG10" s="188"/>
      <c r="RH10" s="188"/>
      <c r="RI10" s="188"/>
      <c r="RJ10" s="188"/>
      <c r="RK10" s="188"/>
      <c r="RL10" s="188"/>
      <c r="RM10" s="188"/>
      <c r="RN10" s="188"/>
      <c r="RO10" s="188"/>
      <c r="RP10" s="188"/>
      <c r="RQ10" s="188"/>
      <c r="RR10" s="90"/>
    </row>
    <row r="11" spans="1:486" ht="20.100000000000001" customHeight="1" x14ac:dyDescent="0.25">
      <c r="B11" s="96"/>
      <c r="C11" s="206"/>
      <c r="D11" s="206"/>
      <c r="E11" s="206"/>
      <c r="F11" s="209" t="s">
        <v>51</v>
      </c>
      <c r="G11" s="209"/>
      <c r="H11" s="209"/>
      <c r="I11" s="209"/>
      <c r="J11" s="209"/>
      <c r="K11" s="209"/>
      <c r="L11" s="209"/>
      <c r="M11" s="209"/>
      <c r="N11" s="209"/>
      <c r="O11" s="209"/>
      <c r="P11" s="209"/>
      <c r="Q11" s="209"/>
      <c r="R11" s="209"/>
      <c r="S11" s="209"/>
      <c r="T11" s="209"/>
      <c r="U11" s="209"/>
      <c r="V11" s="209"/>
      <c r="W11" s="209"/>
      <c r="X11" s="209"/>
      <c r="Y11" s="209"/>
      <c r="Z11" s="209"/>
      <c r="AA11" s="209"/>
      <c r="AB11" s="209"/>
      <c r="AC11" s="209"/>
      <c r="AD11" s="209"/>
      <c r="AE11" s="209"/>
      <c r="AF11" s="209"/>
      <c r="AG11" s="209"/>
      <c r="AH11" s="209"/>
      <c r="AI11" s="209"/>
      <c r="AJ11" s="209"/>
      <c r="AK11" s="209"/>
      <c r="AL11" s="209"/>
      <c r="AM11" s="209"/>
      <c r="AN11" s="209"/>
      <c r="AO11" s="209"/>
      <c r="AP11" s="209"/>
      <c r="AQ11" s="209"/>
      <c r="AR11" s="209"/>
      <c r="AS11" s="209"/>
      <c r="AT11" s="209"/>
      <c r="AU11" s="209"/>
      <c r="AV11" s="209"/>
      <c r="AW11" s="209"/>
      <c r="AX11" s="209"/>
      <c r="AY11" s="209"/>
      <c r="AZ11" s="209"/>
      <c r="BA11" s="209"/>
      <c r="BB11" s="209"/>
      <c r="BC11" s="209"/>
      <c r="BD11" s="209"/>
      <c r="BE11" s="209"/>
      <c r="BF11" s="209"/>
      <c r="BG11" s="209"/>
      <c r="BH11" s="209"/>
      <c r="BI11" s="209"/>
      <c r="BJ11" s="209"/>
      <c r="BK11" s="209"/>
      <c r="BL11" s="209"/>
      <c r="BM11" s="209"/>
      <c r="BN11" s="209" t="s">
        <v>55</v>
      </c>
      <c r="BO11" s="209"/>
      <c r="BP11" s="209"/>
      <c r="BQ11" s="209"/>
      <c r="BR11" s="209"/>
      <c r="BS11" s="209"/>
      <c r="BT11" s="209"/>
      <c r="BU11" s="209"/>
      <c r="BV11" s="209"/>
      <c r="BW11" s="209"/>
      <c r="BX11" s="209"/>
      <c r="BY11" s="209"/>
      <c r="BZ11" s="209"/>
      <c r="CA11" s="209"/>
      <c r="CB11" s="209"/>
      <c r="CC11" s="209"/>
      <c r="CD11" s="209"/>
      <c r="CE11" s="209"/>
      <c r="CF11" s="209"/>
      <c r="CG11" s="209"/>
      <c r="CH11" s="209"/>
      <c r="CI11" s="209"/>
      <c r="CJ11" s="209"/>
      <c r="CK11" s="209"/>
      <c r="CL11" s="209"/>
      <c r="CM11" s="209"/>
      <c r="CN11" s="209"/>
      <c r="CO11" s="209"/>
      <c r="CP11" s="209"/>
      <c r="CQ11" s="209"/>
      <c r="CR11" s="209"/>
      <c r="CS11" s="209"/>
      <c r="CT11" s="209"/>
      <c r="CU11" s="209"/>
      <c r="CV11" s="209"/>
      <c r="CW11" s="209"/>
      <c r="CX11" s="209"/>
      <c r="CY11" s="209"/>
      <c r="CZ11" s="209"/>
      <c r="DA11" s="209"/>
      <c r="DB11" s="209"/>
      <c r="DC11" s="209"/>
      <c r="DD11" s="209"/>
      <c r="DE11" s="209"/>
      <c r="DF11" s="209"/>
      <c r="DG11" s="209"/>
      <c r="DH11" s="209"/>
      <c r="DI11" s="209"/>
      <c r="DJ11" s="209"/>
      <c r="DK11" s="209"/>
      <c r="DL11" s="209"/>
      <c r="DM11" s="209"/>
      <c r="DN11" s="209"/>
      <c r="DO11" s="209"/>
      <c r="DP11" s="209"/>
      <c r="DQ11" s="209"/>
      <c r="DR11" s="209"/>
      <c r="DS11" s="209"/>
      <c r="DT11" s="209"/>
      <c r="DU11" s="209"/>
      <c r="DV11" s="189" t="s">
        <v>55</v>
      </c>
      <c r="DW11" s="189"/>
      <c r="DX11" s="189"/>
      <c r="DY11" s="189"/>
      <c r="DZ11" s="189"/>
      <c r="EA11" s="189"/>
      <c r="EB11" s="189"/>
      <c r="EC11" s="189"/>
      <c r="ED11" s="189"/>
      <c r="EE11" s="189"/>
      <c r="EF11" s="189"/>
      <c r="EG11" s="189"/>
      <c r="EH11" s="189"/>
      <c r="EI11" s="189"/>
      <c r="EJ11" s="189"/>
      <c r="EK11" s="189"/>
      <c r="EL11" s="189"/>
      <c r="EM11" s="189"/>
      <c r="EN11" s="189"/>
      <c r="EO11" s="189"/>
      <c r="EP11" s="189"/>
      <c r="EQ11" s="189"/>
      <c r="ER11" s="189"/>
      <c r="ES11" s="189"/>
      <c r="ET11" s="189"/>
      <c r="EU11" s="189"/>
      <c r="EV11" s="189"/>
      <c r="EW11" s="189"/>
      <c r="EX11" s="189"/>
      <c r="EY11" s="189"/>
      <c r="EZ11" s="189"/>
      <c r="FA11" s="189"/>
      <c r="FB11" s="189"/>
      <c r="FC11" s="189"/>
      <c r="FD11" s="189"/>
      <c r="FE11" s="189"/>
      <c r="FF11" s="189"/>
      <c r="FG11" s="189"/>
      <c r="FH11" s="189"/>
      <c r="FI11" s="189"/>
      <c r="FJ11" s="189"/>
      <c r="FK11" s="189"/>
      <c r="FL11" s="189"/>
      <c r="FM11" s="189"/>
      <c r="FN11" s="189"/>
      <c r="FO11" s="189"/>
      <c r="FP11" s="189"/>
      <c r="FQ11" s="189"/>
      <c r="FR11" s="189"/>
      <c r="FS11" s="189"/>
      <c r="FT11" s="189"/>
      <c r="FU11" s="189"/>
      <c r="FV11" s="189"/>
      <c r="FW11" s="189"/>
      <c r="FX11" s="189"/>
      <c r="FY11" s="189"/>
      <c r="FZ11" s="189"/>
      <c r="GA11" s="189"/>
      <c r="GB11" s="189"/>
      <c r="GC11" s="189"/>
      <c r="GD11" s="189" t="s">
        <v>55</v>
      </c>
      <c r="GE11" s="189"/>
      <c r="GF11" s="189"/>
      <c r="GG11" s="189"/>
      <c r="GH11" s="189"/>
      <c r="GI11" s="189"/>
      <c r="GJ11" s="189"/>
      <c r="GK11" s="189"/>
      <c r="GL11" s="189"/>
      <c r="GM11" s="189"/>
      <c r="GN11" s="189"/>
      <c r="GO11" s="189"/>
      <c r="GP11" s="189"/>
      <c r="GQ11" s="189"/>
      <c r="GR11" s="189"/>
      <c r="GS11" s="189"/>
      <c r="GT11" s="189"/>
      <c r="GU11" s="189"/>
      <c r="GV11" s="189"/>
      <c r="GW11" s="189"/>
      <c r="GX11" s="189"/>
      <c r="GY11" s="189"/>
      <c r="GZ11" s="189"/>
      <c r="HA11" s="189"/>
      <c r="HB11" s="189"/>
      <c r="HC11" s="189"/>
      <c r="HD11" s="189"/>
      <c r="HE11" s="189"/>
      <c r="HF11" s="189"/>
      <c r="HG11" s="189"/>
      <c r="HH11" s="189"/>
      <c r="HI11" s="189"/>
      <c r="HJ11" s="189"/>
      <c r="HK11" s="189"/>
      <c r="HL11" s="189"/>
      <c r="HM11" s="189"/>
      <c r="HN11" s="189"/>
      <c r="HO11" s="189"/>
      <c r="HP11" s="189"/>
      <c r="HQ11" s="189"/>
      <c r="HR11" s="189"/>
      <c r="HS11" s="189"/>
      <c r="HT11" s="189"/>
      <c r="HU11" s="189"/>
      <c r="HV11" s="189"/>
      <c r="HW11" s="189"/>
      <c r="HX11" s="189"/>
      <c r="HY11" s="189"/>
      <c r="HZ11" s="189"/>
      <c r="IA11" s="189"/>
      <c r="IB11" s="189"/>
      <c r="IC11" s="189"/>
      <c r="ID11" s="189"/>
      <c r="IE11" s="189"/>
      <c r="IF11" s="189"/>
      <c r="IG11" s="189"/>
      <c r="IH11" s="189"/>
      <c r="II11" s="189"/>
      <c r="IJ11" s="189"/>
      <c r="IK11" s="189"/>
      <c r="IL11" s="189" t="s">
        <v>55</v>
      </c>
      <c r="IM11" s="189"/>
      <c r="IN11" s="189"/>
      <c r="IO11" s="189"/>
      <c r="IP11" s="189"/>
      <c r="IQ11" s="189"/>
      <c r="IR11" s="189"/>
      <c r="IS11" s="189"/>
      <c r="IT11" s="189"/>
      <c r="IU11" s="189"/>
      <c r="IV11" s="189"/>
      <c r="IW11" s="189"/>
      <c r="IX11" s="189"/>
      <c r="IY11" s="189"/>
      <c r="IZ11" s="189"/>
      <c r="JA11" s="189"/>
      <c r="JB11" s="189"/>
      <c r="JC11" s="189"/>
      <c r="JD11" s="189"/>
      <c r="JE11" s="189"/>
      <c r="JF11" s="189"/>
      <c r="JG11" s="189"/>
      <c r="JH11" s="189"/>
      <c r="JI11" s="189"/>
      <c r="JJ11" s="189"/>
      <c r="JK11" s="189"/>
      <c r="JL11" s="189"/>
      <c r="JM11" s="189"/>
      <c r="JN11" s="189"/>
      <c r="JO11" s="189"/>
      <c r="JP11" s="189"/>
      <c r="JQ11" s="189"/>
      <c r="JR11" s="189"/>
      <c r="JS11" s="189"/>
      <c r="JT11" s="189"/>
      <c r="JU11" s="189"/>
      <c r="JV11" s="189"/>
      <c r="JW11" s="189"/>
      <c r="JX11" s="189"/>
      <c r="JY11" s="189"/>
      <c r="JZ11" s="189"/>
      <c r="KA11" s="189"/>
      <c r="KB11" s="189"/>
      <c r="KC11" s="189"/>
      <c r="KD11" s="189"/>
      <c r="KE11" s="189"/>
      <c r="KF11" s="189"/>
      <c r="KG11" s="189"/>
      <c r="KH11" s="189"/>
      <c r="KI11" s="189"/>
      <c r="KJ11" s="189"/>
      <c r="KK11" s="189"/>
      <c r="KL11" s="189"/>
      <c r="KM11" s="189"/>
      <c r="KN11" s="189"/>
      <c r="KO11" s="189"/>
      <c r="KP11" s="189"/>
      <c r="KQ11" s="189"/>
      <c r="KR11" s="189"/>
      <c r="KS11" s="189"/>
      <c r="KT11" s="189" t="s">
        <v>55</v>
      </c>
      <c r="KU11" s="189"/>
      <c r="KV11" s="189"/>
      <c r="KW11" s="189"/>
      <c r="KX11" s="189"/>
      <c r="KY11" s="189"/>
      <c r="KZ11" s="189"/>
      <c r="LA11" s="189"/>
      <c r="LB11" s="189"/>
      <c r="LC11" s="189"/>
      <c r="LD11" s="189"/>
      <c r="LE11" s="189"/>
      <c r="LF11" s="189"/>
      <c r="LG11" s="189"/>
      <c r="LH11" s="189"/>
      <c r="LI11" s="189"/>
      <c r="LJ11" s="189"/>
      <c r="LK11" s="189"/>
      <c r="LL11" s="189"/>
      <c r="LM11" s="189"/>
      <c r="LN11" s="189"/>
      <c r="LO11" s="189"/>
      <c r="LP11" s="189"/>
      <c r="LQ11" s="189"/>
      <c r="LR11" s="189"/>
      <c r="LS11" s="189"/>
      <c r="LT11" s="189"/>
      <c r="LU11" s="189"/>
      <c r="LV11" s="189"/>
      <c r="LW11" s="189"/>
      <c r="LX11" s="189"/>
      <c r="LY11" s="189"/>
      <c r="LZ11" s="189"/>
      <c r="MA11" s="189"/>
      <c r="MB11" s="189"/>
      <c r="MC11" s="189"/>
      <c r="MD11" s="189"/>
      <c r="ME11" s="189"/>
      <c r="MF11" s="189"/>
      <c r="MG11" s="189"/>
      <c r="MH11" s="189"/>
      <c r="MI11" s="189"/>
      <c r="MJ11" s="189"/>
      <c r="MK11" s="189"/>
      <c r="ML11" s="189"/>
      <c r="MM11" s="189"/>
      <c r="MN11" s="189"/>
      <c r="MO11" s="189"/>
      <c r="MP11" s="189"/>
      <c r="MQ11" s="189"/>
      <c r="MR11" s="189"/>
      <c r="MS11" s="189"/>
      <c r="MT11" s="189"/>
      <c r="MU11" s="189"/>
      <c r="MV11" s="189"/>
      <c r="MW11" s="189"/>
      <c r="MX11" s="189"/>
      <c r="MY11" s="189"/>
      <c r="MZ11" s="189"/>
      <c r="NA11" s="189"/>
      <c r="NB11" s="189" t="s">
        <v>55</v>
      </c>
      <c r="NC11" s="189"/>
      <c r="ND11" s="189"/>
      <c r="NE11" s="189"/>
      <c r="NF11" s="189"/>
      <c r="NG11" s="189"/>
      <c r="NH11" s="189"/>
      <c r="NI11" s="189"/>
      <c r="NJ11" s="189"/>
      <c r="NK11" s="189"/>
      <c r="NL11" s="189"/>
      <c r="NM11" s="189"/>
      <c r="NN11" s="189"/>
      <c r="NO11" s="189"/>
      <c r="NP11" s="189"/>
      <c r="NQ11" s="189"/>
      <c r="NR11" s="189"/>
      <c r="NS11" s="189"/>
      <c r="NT11" s="189"/>
      <c r="NU11" s="189"/>
      <c r="NV11" s="189"/>
      <c r="NW11" s="189"/>
      <c r="NX11" s="189"/>
      <c r="NY11" s="189"/>
      <c r="NZ11" s="189"/>
      <c r="OA11" s="189"/>
      <c r="OB11" s="189"/>
      <c r="OC11" s="189"/>
      <c r="OD11" s="189"/>
      <c r="OE11" s="189"/>
      <c r="OF11" s="189"/>
      <c r="OG11" s="189"/>
      <c r="OH11" s="189"/>
      <c r="OI11" s="189"/>
      <c r="OJ11" s="189"/>
      <c r="OK11" s="189"/>
      <c r="OL11" s="189"/>
      <c r="OM11" s="189"/>
      <c r="ON11" s="189"/>
      <c r="OO11" s="189"/>
      <c r="OP11" s="189"/>
      <c r="OQ11" s="189"/>
      <c r="OR11" s="189"/>
      <c r="OS11" s="189"/>
      <c r="OT11" s="189"/>
      <c r="OU11" s="189"/>
      <c r="OV11" s="189"/>
      <c r="OW11" s="189"/>
      <c r="OX11" s="189"/>
      <c r="OY11" s="189"/>
      <c r="OZ11" s="189"/>
      <c r="PA11" s="189"/>
      <c r="PB11" s="189"/>
      <c r="PC11" s="189"/>
      <c r="PD11" s="189"/>
      <c r="PE11" s="189"/>
      <c r="PF11" s="189"/>
      <c r="PG11" s="189"/>
      <c r="PH11" s="189"/>
      <c r="PI11" s="189"/>
      <c r="PJ11" s="189" t="s">
        <v>55</v>
      </c>
      <c r="PK11" s="189"/>
      <c r="PL11" s="189"/>
      <c r="PM11" s="189"/>
      <c r="PN11" s="189"/>
      <c r="PO11" s="189"/>
      <c r="PP11" s="189"/>
      <c r="PQ11" s="189"/>
      <c r="PR11" s="189"/>
      <c r="PS11" s="189"/>
      <c r="PT11" s="189"/>
      <c r="PU11" s="189"/>
      <c r="PV11" s="189"/>
      <c r="PW11" s="189"/>
      <c r="PX11" s="189"/>
      <c r="PY11" s="189"/>
      <c r="PZ11" s="189"/>
      <c r="QA11" s="189"/>
      <c r="QB11" s="189"/>
      <c r="QC11" s="189"/>
      <c r="QD11" s="189"/>
      <c r="QE11" s="189"/>
      <c r="QF11" s="189"/>
      <c r="QG11" s="189"/>
      <c r="QH11" s="189"/>
      <c r="QI11" s="189"/>
      <c r="QJ11" s="189"/>
      <c r="QK11" s="189"/>
      <c r="QL11" s="189"/>
      <c r="QM11" s="189"/>
      <c r="QN11" s="189"/>
      <c r="QO11" s="189"/>
      <c r="QP11" s="189"/>
      <c r="QQ11" s="189"/>
      <c r="QR11" s="189"/>
      <c r="QS11" s="189"/>
      <c r="QT11" s="189"/>
      <c r="QU11" s="189"/>
      <c r="QV11" s="189"/>
      <c r="QW11" s="189"/>
      <c r="QX11" s="189"/>
      <c r="QY11" s="189"/>
      <c r="QZ11" s="189"/>
      <c r="RA11" s="189"/>
      <c r="RB11" s="189"/>
      <c r="RC11" s="189"/>
      <c r="RD11" s="189"/>
      <c r="RE11" s="189"/>
      <c r="RF11" s="189"/>
      <c r="RG11" s="189"/>
      <c r="RH11" s="189"/>
      <c r="RI11" s="189"/>
      <c r="RJ11" s="189"/>
      <c r="RK11" s="189"/>
      <c r="RL11" s="189"/>
      <c r="RM11" s="189"/>
      <c r="RN11" s="189"/>
      <c r="RO11" s="189"/>
      <c r="RP11" s="189"/>
      <c r="RQ11" s="189"/>
      <c r="RR11" s="90"/>
    </row>
    <row r="12" spans="1:486" ht="15.75" customHeight="1" thickBot="1" x14ac:dyDescent="0.3">
      <c r="B12" s="97"/>
      <c r="C12" s="207"/>
      <c r="D12" s="207"/>
      <c r="E12" s="207"/>
      <c r="F12" s="208"/>
      <c r="G12" s="208"/>
      <c r="H12" s="208"/>
      <c r="I12" s="208"/>
      <c r="J12" s="208"/>
      <c r="K12" s="208"/>
      <c r="L12" s="208"/>
      <c r="M12" s="208"/>
      <c r="N12" s="208"/>
      <c r="O12" s="208"/>
      <c r="P12" s="208"/>
      <c r="Q12" s="208"/>
      <c r="R12" s="208"/>
      <c r="S12" s="208"/>
      <c r="T12" s="208"/>
      <c r="U12" s="208"/>
      <c r="V12" s="208"/>
      <c r="W12" s="208"/>
      <c r="X12" s="208"/>
      <c r="Y12" s="208"/>
      <c r="Z12" s="208"/>
      <c r="AA12" s="208"/>
      <c r="AB12" s="208"/>
      <c r="AC12" s="208"/>
      <c r="AD12" s="208"/>
      <c r="AE12" s="208"/>
      <c r="AF12" s="208"/>
      <c r="AG12" s="208"/>
      <c r="AH12" s="208"/>
      <c r="AI12" s="208"/>
      <c r="AJ12" s="208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AU12" s="208"/>
      <c r="AV12" s="208"/>
      <c r="AW12" s="208"/>
      <c r="AX12" s="208"/>
      <c r="AY12" s="208"/>
      <c r="AZ12" s="208"/>
      <c r="BA12" s="208"/>
      <c r="BB12" s="208"/>
      <c r="BC12" s="208"/>
      <c r="BD12" s="208"/>
      <c r="BE12" s="208"/>
      <c r="BF12" s="208"/>
      <c r="BG12" s="208"/>
      <c r="BH12" s="208"/>
      <c r="BI12" s="208"/>
      <c r="BJ12" s="208"/>
      <c r="BK12" s="208"/>
      <c r="BL12" s="208"/>
      <c r="BM12" s="208"/>
      <c r="BN12" s="208"/>
      <c r="BO12" s="208"/>
      <c r="BP12" s="208"/>
      <c r="BQ12" s="208"/>
      <c r="BR12" s="208"/>
      <c r="BS12" s="208"/>
      <c r="BT12" s="208"/>
      <c r="BU12" s="208"/>
      <c r="BV12" s="208"/>
      <c r="BW12" s="208"/>
      <c r="BX12" s="208"/>
      <c r="BY12" s="208"/>
      <c r="BZ12" s="208"/>
      <c r="CA12" s="208"/>
      <c r="CB12" s="208"/>
      <c r="CC12" s="208"/>
      <c r="CD12" s="208"/>
      <c r="CE12" s="208"/>
      <c r="CF12" s="208"/>
      <c r="CG12" s="208"/>
      <c r="CH12" s="208"/>
      <c r="CI12" s="208"/>
      <c r="CJ12" s="208"/>
      <c r="CK12" s="208"/>
      <c r="CL12" s="208"/>
      <c r="CM12" s="208"/>
      <c r="CN12" s="208"/>
      <c r="CO12" s="208"/>
      <c r="CP12" s="208"/>
      <c r="CQ12" s="208"/>
      <c r="CR12" s="208"/>
      <c r="CS12" s="208"/>
      <c r="CT12" s="208"/>
      <c r="CU12" s="208"/>
      <c r="CV12" s="208"/>
      <c r="CW12" s="208"/>
      <c r="CX12" s="208"/>
      <c r="CY12" s="208"/>
      <c r="CZ12" s="208"/>
      <c r="DA12" s="208"/>
      <c r="DB12" s="208"/>
      <c r="DC12" s="208"/>
      <c r="DD12" s="208"/>
      <c r="DE12" s="208"/>
      <c r="DF12" s="208"/>
      <c r="DG12" s="208"/>
      <c r="DH12" s="208"/>
      <c r="DI12" s="208"/>
      <c r="DJ12" s="208"/>
      <c r="DK12" s="208"/>
      <c r="DL12" s="208"/>
      <c r="DM12" s="208"/>
      <c r="DN12" s="208"/>
      <c r="DO12" s="208"/>
      <c r="DP12" s="208"/>
      <c r="DQ12" s="208"/>
      <c r="DR12" s="208"/>
      <c r="DS12" s="208"/>
      <c r="DT12" s="208"/>
      <c r="DU12" s="208"/>
      <c r="DV12" s="190"/>
      <c r="DW12" s="190"/>
      <c r="DX12" s="190"/>
      <c r="DY12" s="190"/>
      <c r="DZ12" s="190"/>
      <c r="EA12" s="190"/>
      <c r="EB12" s="190"/>
      <c r="EC12" s="190"/>
      <c r="ED12" s="190"/>
      <c r="EE12" s="190"/>
      <c r="EF12" s="190"/>
      <c r="EG12" s="190"/>
      <c r="EH12" s="190"/>
      <c r="EI12" s="190"/>
      <c r="EJ12" s="190"/>
      <c r="EK12" s="190"/>
      <c r="EL12" s="190"/>
      <c r="EM12" s="190"/>
      <c r="EN12" s="190"/>
      <c r="EO12" s="190"/>
      <c r="EP12" s="190"/>
      <c r="EQ12" s="190"/>
      <c r="ER12" s="190"/>
      <c r="ES12" s="190"/>
      <c r="ET12" s="190"/>
      <c r="EU12" s="190"/>
      <c r="EV12" s="190"/>
      <c r="EW12" s="190"/>
      <c r="EX12" s="190"/>
      <c r="EY12" s="190"/>
      <c r="EZ12" s="190"/>
      <c r="FA12" s="190"/>
      <c r="FB12" s="190"/>
      <c r="FC12" s="190"/>
      <c r="FD12" s="190"/>
      <c r="FE12" s="190"/>
      <c r="FF12" s="190"/>
      <c r="FG12" s="190"/>
      <c r="FH12" s="190"/>
      <c r="FI12" s="190"/>
      <c r="FJ12" s="190"/>
      <c r="FK12" s="190"/>
      <c r="FL12" s="190"/>
      <c r="FM12" s="190"/>
      <c r="FN12" s="190"/>
      <c r="FO12" s="190"/>
      <c r="FP12" s="190"/>
      <c r="FQ12" s="190"/>
      <c r="FR12" s="190"/>
      <c r="FS12" s="190"/>
      <c r="FT12" s="190"/>
      <c r="FU12" s="190"/>
      <c r="FV12" s="190"/>
      <c r="FW12" s="190"/>
      <c r="FX12" s="190"/>
      <c r="FY12" s="190"/>
      <c r="FZ12" s="190"/>
      <c r="GA12" s="190"/>
      <c r="GB12" s="190"/>
      <c r="GC12" s="190"/>
      <c r="GD12" s="190"/>
      <c r="GE12" s="190"/>
      <c r="GF12" s="190"/>
      <c r="GG12" s="190"/>
      <c r="GH12" s="190"/>
      <c r="GI12" s="190"/>
      <c r="GJ12" s="190"/>
      <c r="GK12" s="190"/>
      <c r="GL12" s="190"/>
      <c r="GM12" s="190"/>
      <c r="GN12" s="190"/>
      <c r="GO12" s="190"/>
      <c r="GP12" s="190"/>
      <c r="GQ12" s="190"/>
      <c r="GR12" s="190"/>
      <c r="GS12" s="190"/>
      <c r="GT12" s="190"/>
      <c r="GU12" s="190"/>
      <c r="GV12" s="190"/>
      <c r="GW12" s="190"/>
      <c r="GX12" s="190"/>
      <c r="GY12" s="190"/>
      <c r="GZ12" s="190"/>
      <c r="HA12" s="190"/>
      <c r="HB12" s="190"/>
      <c r="HC12" s="190"/>
      <c r="HD12" s="190"/>
      <c r="HE12" s="190"/>
      <c r="HF12" s="190"/>
      <c r="HG12" s="190"/>
      <c r="HH12" s="190"/>
      <c r="HI12" s="190"/>
      <c r="HJ12" s="190"/>
      <c r="HK12" s="190"/>
      <c r="HL12" s="190"/>
      <c r="HM12" s="190"/>
      <c r="HN12" s="190"/>
      <c r="HO12" s="190"/>
      <c r="HP12" s="190"/>
      <c r="HQ12" s="190"/>
      <c r="HR12" s="190"/>
      <c r="HS12" s="190"/>
      <c r="HT12" s="190"/>
      <c r="HU12" s="190"/>
      <c r="HV12" s="190"/>
      <c r="HW12" s="190"/>
      <c r="HX12" s="190"/>
      <c r="HY12" s="190"/>
      <c r="HZ12" s="190"/>
      <c r="IA12" s="190"/>
      <c r="IB12" s="190"/>
      <c r="IC12" s="190"/>
      <c r="ID12" s="190"/>
      <c r="IE12" s="190"/>
      <c r="IF12" s="190"/>
      <c r="IG12" s="190"/>
      <c r="IH12" s="190"/>
      <c r="II12" s="190"/>
      <c r="IJ12" s="190"/>
      <c r="IK12" s="190"/>
      <c r="IL12" s="190"/>
      <c r="IM12" s="190"/>
      <c r="IN12" s="190"/>
      <c r="IO12" s="190"/>
      <c r="IP12" s="190"/>
      <c r="IQ12" s="190"/>
      <c r="IR12" s="190"/>
      <c r="IS12" s="190"/>
      <c r="IT12" s="190"/>
      <c r="IU12" s="190"/>
      <c r="IV12" s="190"/>
      <c r="IW12" s="190"/>
      <c r="IX12" s="190"/>
      <c r="IY12" s="190"/>
      <c r="IZ12" s="190"/>
      <c r="JA12" s="190"/>
      <c r="JB12" s="190"/>
      <c r="JC12" s="190"/>
      <c r="JD12" s="190"/>
      <c r="JE12" s="190"/>
      <c r="JF12" s="190"/>
      <c r="JG12" s="190"/>
      <c r="JH12" s="190"/>
      <c r="JI12" s="190"/>
      <c r="JJ12" s="190"/>
      <c r="JK12" s="190"/>
      <c r="JL12" s="190"/>
      <c r="JM12" s="190"/>
      <c r="JN12" s="190"/>
      <c r="JO12" s="190"/>
      <c r="JP12" s="190"/>
      <c r="JQ12" s="190"/>
      <c r="JR12" s="190"/>
      <c r="JS12" s="190"/>
      <c r="JT12" s="190"/>
      <c r="JU12" s="190"/>
      <c r="JV12" s="190"/>
      <c r="JW12" s="190"/>
      <c r="JX12" s="190"/>
      <c r="JY12" s="190"/>
      <c r="JZ12" s="190"/>
      <c r="KA12" s="190"/>
      <c r="KB12" s="190"/>
      <c r="KC12" s="190"/>
      <c r="KD12" s="190"/>
      <c r="KE12" s="190"/>
      <c r="KF12" s="190"/>
      <c r="KG12" s="190"/>
      <c r="KH12" s="190"/>
      <c r="KI12" s="190"/>
      <c r="KJ12" s="190"/>
      <c r="KK12" s="190"/>
      <c r="KL12" s="190"/>
      <c r="KM12" s="190"/>
      <c r="KN12" s="190"/>
      <c r="KO12" s="190"/>
      <c r="KP12" s="190"/>
      <c r="KQ12" s="190"/>
      <c r="KR12" s="190"/>
      <c r="KS12" s="190"/>
      <c r="KT12" s="190"/>
      <c r="KU12" s="190"/>
      <c r="KV12" s="190"/>
      <c r="KW12" s="190"/>
      <c r="KX12" s="190"/>
      <c r="KY12" s="190"/>
      <c r="KZ12" s="190"/>
      <c r="LA12" s="190"/>
      <c r="LB12" s="190"/>
      <c r="LC12" s="190"/>
      <c r="LD12" s="190"/>
      <c r="LE12" s="190"/>
      <c r="LF12" s="190"/>
      <c r="LG12" s="190"/>
      <c r="LH12" s="190"/>
      <c r="LI12" s="190"/>
      <c r="LJ12" s="190"/>
      <c r="LK12" s="190"/>
      <c r="LL12" s="190"/>
      <c r="LM12" s="190"/>
      <c r="LN12" s="190"/>
      <c r="LO12" s="190"/>
      <c r="LP12" s="190"/>
      <c r="LQ12" s="190"/>
      <c r="LR12" s="190"/>
      <c r="LS12" s="190"/>
      <c r="LT12" s="190"/>
      <c r="LU12" s="190"/>
      <c r="LV12" s="190"/>
      <c r="LW12" s="190"/>
      <c r="LX12" s="190"/>
      <c r="LY12" s="190"/>
      <c r="LZ12" s="190"/>
      <c r="MA12" s="190"/>
      <c r="MB12" s="190"/>
      <c r="MC12" s="190"/>
      <c r="MD12" s="190"/>
      <c r="ME12" s="190"/>
      <c r="MF12" s="190"/>
      <c r="MG12" s="190"/>
      <c r="MH12" s="190"/>
      <c r="MI12" s="190"/>
      <c r="MJ12" s="190"/>
      <c r="MK12" s="190"/>
      <c r="ML12" s="190"/>
      <c r="MM12" s="190"/>
      <c r="MN12" s="190"/>
      <c r="MO12" s="190"/>
      <c r="MP12" s="190"/>
      <c r="MQ12" s="190"/>
      <c r="MR12" s="190"/>
      <c r="MS12" s="190"/>
      <c r="MT12" s="190"/>
      <c r="MU12" s="190"/>
      <c r="MV12" s="190"/>
      <c r="MW12" s="190"/>
      <c r="MX12" s="190"/>
      <c r="MY12" s="190"/>
      <c r="MZ12" s="190"/>
      <c r="NA12" s="190"/>
      <c r="NB12" s="190"/>
      <c r="NC12" s="190"/>
      <c r="ND12" s="190"/>
      <c r="NE12" s="190"/>
      <c r="NF12" s="190"/>
      <c r="NG12" s="190"/>
      <c r="NH12" s="190"/>
      <c r="NI12" s="190"/>
      <c r="NJ12" s="190"/>
      <c r="NK12" s="190"/>
      <c r="NL12" s="190"/>
      <c r="NM12" s="190"/>
      <c r="NN12" s="190"/>
      <c r="NO12" s="190"/>
      <c r="NP12" s="190"/>
      <c r="NQ12" s="190"/>
      <c r="NR12" s="190"/>
      <c r="NS12" s="190"/>
      <c r="NT12" s="190"/>
      <c r="NU12" s="190"/>
      <c r="NV12" s="190"/>
      <c r="NW12" s="190"/>
      <c r="NX12" s="190"/>
      <c r="NY12" s="190"/>
      <c r="NZ12" s="190"/>
      <c r="OA12" s="190"/>
      <c r="OB12" s="190"/>
      <c r="OC12" s="190"/>
      <c r="OD12" s="190"/>
      <c r="OE12" s="190"/>
      <c r="OF12" s="190"/>
      <c r="OG12" s="190"/>
      <c r="OH12" s="190"/>
      <c r="OI12" s="190"/>
      <c r="OJ12" s="190"/>
      <c r="OK12" s="190"/>
      <c r="OL12" s="190"/>
      <c r="OM12" s="190"/>
      <c r="ON12" s="190"/>
      <c r="OO12" s="190"/>
      <c r="OP12" s="190"/>
      <c r="OQ12" s="190"/>
      <c r="OR12" s="190"/>
      <c r="OS12" s="190"/>
      <c r="OT12" s="190"/>
      <c r="OU12" s="190"/>
      <c r="OV12" s="190"/>
      <c r="OW12" s="190"/>
      <c r="OX12" s="190"/>
      <c r="OY12" s="190"/>
      <c r="OZ12" s="190"/>
      <c r="PA12" s="190"/>
      <c r="PB12" s="190"/>
      <c r="PC12" s="190"/>
      <c r="PD12" s="190"/>
      <c r="PE12" s="190"/>
      <c r="PF12" s="190"/>
      <c r="PG12" s="190"/>
      <c r="PH12" s="190"/>
      <c r="PI12" s="190"/>
      <c r="PJ12" s="190"/>
      <c r="PK12" s="190"/>
      <c r="PL12" s="190"/>
      <c r="PM12" s="190"/>
      <c r="PN12" s="190"/>
      <c r="PO12" s="190"/>
      <c r="PP12" s="190"/>
      <c r="PQ12" s="190"/>
      <c r="PR12" s="190"/>
      <c r="PS12" s="190"/>
      <c r="PT12" s="190"/>
      <c r="PU12" s="190"/>
      <c r="PV12" s="190"/>
      <c r="PW12" s="190"/>
      <c r="PX12" s="190"/>
      <c r="PY12" s="190"/>
      <c r="PZ12" s="190"/>
      <c r="QA12" s="190"/>
      <c r="QB12" s="190"/>
      <c r="QC12" s="190"/>
      <c r="QD12" s="190"/>
      <c r="QE12" s="190"/>
      <c r="QF12" s="190"/>
      <c r="QG12" s="190"/>
      <c r="QH12" s="190"/>
      <c r="QI12" s="190"/>
      <c r="QJ12" s="190"/>
      <c r="QK12" s="190"/>
      <c r="QL12" s="190"/>
      <c r="QM12" s="190"/>
      <c r="QN12" s="190"/>
      <c r="QO12" s="190"/>
      <c r="QP12" s="190"/>
      <c r="QQ12" s="190"/>
      <c r="QR12" s="190"/>
      <c r="QS12" s="190"/>
      <c r="QT12" s="190"/>
      <c r="QU12" s="190"/>
      <c r="QV12" s="190"/>
      <c r="QW12" s="190"/>
      <c r="QX12" s="190"/>
      <c r="QY12" s="190"/>
      <c r="QZ12" s="190"/>
      <c r="RA12" s="190"/>
      <c r="RB12" s="190"/>
      <c r="RC12" s="190"/>
      <c r="RD12" s="190"/>
      <c r="RE12" s="190"/>
      <c r="RF12" s="190"/>
      <c r="RG12" s="190"/>
      <c r="RH12" s="190"/>
      <c r="RI12" s="190"/>
      <c r="RJ12" s="190"/>
      <c r="RK12" s="190"/>
      <c r="RL12" s="190"/>
      <c r="RM12" s="190"/>
      <c r="RN12" s="190"/>
      <c r="RO12" s="190"/>
      <c r="RP12" s="190"/>
      <c r="RQ12" s="190"/>
      <c r="RR12" s="90"/>
    </row>
    <row r="13" spans="1:486" ht="42.75" customHeight="1" thickBot="1" x14ac:dyDescent="0.3">
      <c r="B13" s="96"/>
      <c r="C13" s="202" t="s">
        <v>7</v>
      </c>
      <c r="D13" s="144"/>
      <c r="E13" s="204" t="s">
        <v>41</v>
      </c>
      <c r="F13" s="191" t="s">
        <v>8</v>
      </c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2"/>
      <c r="BI13" s="192"/>
      <c r="BJ13" s="192"/>
      <c r="BK13" s="192"/>
      <c r="BL13" s="192"/>
      <c r="BM13" s="193"/>
      <c r="BN13" s="191" t="s">
        <v>28</v>
      </c>
      <c r="BO13" s="192"/>
      <c r="BP13" s="192"/>
      <c r="BQ13" s="192"/>
      <c r="BR13" s="192"/>
      <c r="BS13" s="192"/>
      <c r="BT13" s="192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  <c r="CI13" s="192"/>
      <c r="CJ13" s="192"/>
      <c r="CK13" s="192"/>
      <c r="CL13" s="192"/>
      <c r="CM13" s="192"/>
      <c r="CN13" s="192"/>
      <c r="CO13" s="192"/>
      <c r="CP13" s="192"/>
      <c r="CQ13" s="192"/>
      <c r="CR13" s="192"/>
      <c r="CS13" s="192"/>
      <c r="CT13" s="192"/>
      <c r="CU13" s="192"/>
      <c r="CV13" s="192"/>
      <c r="CW13" s="192"/>
      <c r="CX13" s="192"/>
      <c r="CY13" s="192"/>
      <c r="CZ13" s="192"/>
      <c r="DA13" s="192"/>
      <c r="DB13" s="192"/>
      <c r="DC13" s="192"/>
      <c r="DD13" s="192"/>
      <c r="DE13" s="192"/>
      <c r="DF13" s="192"/>
      <c r="DG13" s="192"/>
      <c r="DH13" s="192"/>
      <c r="DI13" s="192"/>
      <c r="DJ13" s="192"/>
      <c r="DK13" s="192"/>
      <c r="DL13" s="192"/>
      <c r="DM13" s="192"/>
      <c r="DN13" s="192"/>
      <c r="DO13" s="192"/>
      <c r="DP13" s="192"/>
      <c r="DQ13" s="192"/>
      <c r="DR13" s="192"/>
      <c r="DS13" s="192"/>
      <c r="DT13" s="192"/>
      <c r="DU13" s="193"/>
      <c r="DV13" s="191" t="s">
        <v>19</v>
      </c>
      <c r="DW13" s="192"/>
      <c r="DX13" s="192"/>
      <c r="DY13" s="192"/>
      <c r="DZ13" s="192"/>
      <c r="EA13" s="192"/>
      <c r="EB13" s="192"/>
      <c r="EC13" s="192"/>
      <c r="ED13" s="192"/>
      <c r="EE13" s="192"/>
      <c r="EF13" s="192"/>
      <c r="EG13" s="192"/>
      <c r="EH13" s="192"/>
      <c r="EI13" s="192"/>
      <c r="EJ13" s="192"/>
      <c r="EK13" s="192"/>
      <c r="EL13" s="192"/>
      <c r="EM13" s="192"/>
      <c r="EN13" s="192"/>
      <c r="EO13" s="192"/>
      <c r="EP13" s="192"/>
      <c r="EQ13" s="192"/>
      <c r="ER13" s="192"/>
      <c r="ES13" s="192"/>
      <c r="ET13" s="192"/>
      <c r="EU13" s="192"/>
      <c r="EV13" s="192"/>
      <c r="EW13" s="192"/>
      <c r="EX13" s="192"/>
      <c r="EY13" s="192"/>
      <c r="EZ13" s="192"/>
      <c r="FA13" s="192"/>
      <c r="FB13" s="192"/>
      <c r="FC13" s="192"/>
      <c r="FD13" s="192"/>
      <c r="FE13" s="192"/>
      <c r="FF13" s="192"/>
      <c r="FG13" s="192"/>
      <c r="FH13" s="192"/>
      <c r="FI13" s="192"/>
      <c r="FJ13" s="192"/>
      <c r="FK13" s="192"/>
      <c r="FL13" s="192"/>
      <c r="FM13" s="192"/>
      <c r="FN13" s="192"/>
      <c r="FO13" s="192"/>
      <c r="FP13" s="192"/>
      <c r="FQ13" s="192"/>
      <c r="FR13" s="192"/>
      <c r="FS13" s="192"/>
      <c r="FT13" s="192"/>
      <c r="FU13" s="192"/>
      <c r="FV13" s="192"/>
      <c r="FW13" s="192"/>
      <c r="FX13" s="192"/>
      <c r="FY13" s="192"/>
      <c r="FZ13" s="192"/>
      <c r="GA13" s="192"/>
      <c r="GB13" s="192"/>
      <c r="GC13" s="193"/>
      <c r="GD13" s="191" t="s">
        <v>54</v>
      </c>
      <c r="GE13" s="192"/>
      <c r="GF13" s="192"/>
      <c r="GG13" s="192"/>
      <c r="GH13" s="192"/>
      <c r="GI13" s="192"/>
      <c r="GJ13" s="192"/>
      <c r="GK13" s="192"/>
      <c r="GL13" s="192"/>
      <c r="GM13" s="192"/>
      <c r="GN13" s="192"/>
      <c r="GO13" s="192"/>
      <c r="GP13" s="192"/>
      <c r="GQ13" s="192"/>
      <c r="GR13" s="192"/>
      <c r="GS13" s="192"/>
      <c r="GT13" s="192"/>
      <c r="GU13" s="192"/>
      <c r="GV13" s="192"/>
      <c r="GW13" s="192"/>
      <c r="GX13" s="192"/>
      <c r="GY13" s="192"/>
      <c r="GZ13" s="192"/>
      <c r="HA13" s="192"/>
      <c r="HB13" s="192"/>
      <c r="HC13" s="192"/>
      <c r="HD13" s="192"/>
      <c r="HE13" s="192"/>
      <c r="HF13" s="192"/>
      <c r="HG13" s="192"/>
      <c r="HH13" s="192"/>
      <c r="HI13" s="192"/>
      <c r="HJ13" s="192"/>
      <c r="HK13" s="192"/>
      <c r="HL13" s="192"/>
      <c r="HM13" s="192"/>
      <c r="HN13" s="192"/>
      <c r="HO13" s="192"/>
      <c r="HP13" s="192"/>
      <c r="HQ13" s="192"/>
      <c r="HR13" s="192"/>
      <c r="HS13" s="192"/>
      <c r="HT13" s="192"/>
      <c r="HU13" s="192"/>
      <c r="HV13" s="192"/>
      <c r="HW13" s="192"/>
      <c r="HX13" s="192"/>
      <c r="HY13" s="192"/>
      <c r="HZ13" s="192"/>
      <c r="IA13" s="192"/>
      <c r="IB13" s="192"/>
      <c r="IC13" s="192"/>
      <c r="ID13" s="192"/>
      <c r="IE13" s="192"/>
      <c r="IF13" s="192"/>
      <c r="IG13" s="192"/>
      <c r="IH13" s="192"/>
      <c r="II13" s="192"/>
      <c r="IJ13" s="192"/>
      <c r="IK13" s="193"/>
      <c r="IL13" s="191" t="s">
        <v>59</v>
      </c>
      <c r="IM13" s="192"/>
      <c r="IN13" s="192"/>
      <c r="IO13" s="192"/>
      <c r="IP13" s="192"/>
      <c r="IQ13" s="192"/>
      <c r="IR13" s="192"/>
      <c r="IS13" s="192"/>
      <c r="IT13" s="192"/>
      <c r="IU13" s="192"/>
      <c r="IV13" s="192"/>
      <c r="IW13" s="192"/>
      <c r="IX13" s="192"/>
      <c r="IY13" s="192"/>
      <c r="IZ13" s="192"/>
      <c r="JA13" s="192"/>
      <c r="JB13" s="192"/>
      <c r="JC13" s="192"/>
      <c r="JD13" s="192"/>
      <c r="JE13" s="192"/>
      <c r="JF13" s="192"/>
      <c r="JG13" s="192"/>
      <c r="JH13" s="192"/>
      <c r="JI13" s="192"/>
      <c r="JJ13" s="192"/>
      <c r="JK13" s="192"/>
      <c r="JL13" s="192"/>
      <c r="JM13" s="192"/>
      <c r="JN13" s="192"/>
      <c r="JO13" s="192"/>
      <c r="JP13" s="192"/>
      <c r="JQ13" s="192"/>
      <c r="JR13" s="192"/>
      <c r="JS13" s="192"/>
      <c r="JT13" s="192"/>
      <c r="JU13" s="192"/>
      <c r="JV13" s="192"/>
      <c r="JW13" s="192"/>
      <c r="JX13" s="192"/>
      <c r="JY13" s="192"/>
      <c r="JZ13" s="192"/>
      <c r="KA13" s="192"/>
      <c r="KB13" s="192"/>
      <c r="KC13" s="192"/>
      <c r="KD13" s="192"/>
      <c r="KE13" s="192"/>
      <c r="KF13" s="192"/>
      <c r="KG13" s="192"/>
      <c r="KH13" s="192"/>
      <c r="KI13" s="192"/>
      <c r="KJ13" s="192"/>
      <c r="KK13" s="192"/>
      <c r="KL13" s="192"/>
      <c r="KM13" s="192"/>
      <c r="KN13" s="192"/>
      <c r="KO13" s="192"/>
      <c r="KP13" s="192"/>
      <c r="KQ13" s="192"/>
      <c r="KR13" s="192"/>
      <c r="KS13" s="193"/>
      <c r="KT13" s="191" t="s">
        <v>58</v>
      </c>
      <c r="KU13" s="192"/>
      <c r="KV13" s="192"/>
      <c r="KW13" s="192"/>
      <c r="KX13" s="192"/>
      <c r="KY13" s="192"/>
      <c r="KZ13" s="192"/>
      <c r="LA13" s="192"/>
      <c r="LB13" s="192"/>
      <c r="LC13" s="192"/>
      <c r="LD13" s="192"/>
      <c r="LE13" s="192"/>
      <c r="LF13" s="192"/>
      <c r="LG13" s="192"/>
      <c r="LH13" s="192"/>
      <c r="LI13" s="192"/>
      <c r="LJ13" s="192"/>
      <c r="LK13" s="192"/>
      <c r="LL13" s="192"/>
      <c r="LM13" s="192"/>
      <c r="LN13" s="192"/>
      <c r="LO13" s="192"/>
      <c r="LP13" s="192"/>
      <c r="LQ13" s="192"/>
      <c r="LR13" s="192"/>
      <c r="LS13" s="192"/>
      <c r="LT13" s="192"/>
      <c r="LU13" s="192"/>
      <c r="LV13" s="192"/>
      <c r="LW13" s="192"/>
      <c r="LX13" s="192"/>
      <c r="LY13" s="192"/>
      <c r="LZ13" s="192"/>
      <c r="MA13" s="192"/>
      <c r="MB13" s="192"/>
      <c r="MC13" s="192"/>
      <c r="MD13" s="192"/>
      <c r="ME13" s="192"/>
      <c r="MF13" s="192"/>
      <c r="MG13" s="192"/>
      <c r="MH13" s="192"/>
      <c r="MI13" s="192"/>
      <c r="MJ13" s="192"/>
      <c r="MK13" s="192"/>
      <c r="ML13" s="192"/>
      <c r="MM13" s="192"/>
      <c r="MN13" s="192"/>
      <c r="MO13" s="192"/>
      <c r="MP13" s="192"/>
      <c r="MQ13" s="192"/>
      <c r="MR13" s="192"/>
      <c r="MS13" s="192"/>
      <c r="MT13" s="192"/>
      <c r="MU13" s="192"/>
      <c r="MV13" s="192"/>
      <c r="MW13" s="192"/>
      <c r="MX13" s="192"/>
      <c r="MY13" s="192"/>
      <c r="MZ13" s="192"/>
      <c r="NA13" s="193"/>
      <c r="NB13" s="191" t="s">
        <v>57</v>
      </c>
      <c r="NC13" s="192"/>
      <c r="ND13" s="192"/>
      <c r="NE13" s="192"/>
      <c r="NF13" s="192"/>
      <c r="NG13" s="192"/>
      <c r="NH13" s="192"/>
      <c r="NI13" s="192"/>
      <c r="NJ13" s="192"/>
      <c r="NK13" s="192"/>
      <c r="NL13" s="192"/>
      <c r="NM13" s="192"/>
      <c r="NN13" s="192"/>
      <c r="NO13" s="192"/>
      <c r="NP13" s="192"/>
      <c r="NQ13" s="192"/>
      <c r="NR13" s="192"/>
      <c r="NS13" s="192"/>
      <c r="NT13" s="192"/>
      <c r="NU13" s="192"/>
      <c r="NV13" s="192"/>
      <c r="NW13" s="192"/>
      <c r="NX13" s="192"/>
      <c r="NY13" s="192"/>
      <c r="NZ13" s="192"/>
      <c r="OA13" s="192"/>
      <c r="OB13" s="192"/>
      <c r="OC13" s="192"/>
      <c r="OD13" s="192"/>
      <c r="OE13" s="192"/>
      <c r="OF13" s="192"/>
      <c r="OG13" s="192"/>
      <c r="OH13" s="192"/>
      <c r="OI13" s="192"/>
      <c r="OJ13" s="192"/>
      <c r="OK13" s="192"/>
      <c r="OL13" s="192"/>
      <c r="OM13" s="192"/>
      <c r="ON13" s="192"/>
      <c r="OO13" s="192"/>
      <c r="OP13" s="192"/>
      <c r="OQ13" s="192"/>
      <c r="OR13" s="192"/>
      <c r="OS13" s="192"/>
      <c r="OT13" s="192"/>
      <c r="OU13" s="192"/>
      <c r="OV13" s="192"/>
      <c r="OW13" s="192"/>
      <c r="OX13" s="192"/>
      <c r="OY13" s="192"/>
      <c r="OZ13" s="192"/>
      <c r="PA13" s="192"/>
      <c r="PB13" s="192"/>
      <c r="PC13" s="192"/>
      <c r="PD13" s="192"/>
      <c r="PE13" s="192"/>
      <c r="PF13" s="192"/>
      <c r="PG13" s="192"/>
      <c r="PH13" s="192"/>
      <c r="PI13" s="193"/>
      <c r="PJ13" s="191" t="s">
        <v>56</v>
      </c>
      <c r="PK13" s="192"/>
      <c r="PL13" s="192"/>
      <c r="PM13" s="192"/>
      <c r="PN13" s="192"/>
      <c r="PO13" s="192"/>
      <c r="PP13" s="192"/>
      <c r="PQ13" s="192"/>
      <c r="PR13" s="192"/>
      <c r="PS13" s="192"/>
      <c r="PT13" s="192"/>
      <c r="PU13" s="192"/>
      <c r="PV13" s="192"/>
      <c r="PW13" s="192"/>
      <c r="PX13" s="192"/>
      <c r="PY13" s="192"/>
      <c r="PZ13" s="192"/>
      <c r="QA13" s="192"/>
      <c r="QB13" s="192"/>
      <c r="QC13" s="192"/>
      <c r="QD13" s="192"/>
      <c r="QE13" s="192"/>
      <c r="QF13" s="192"/>
      <c r="QG13" s="192"/>
      <c r="QH13" s="192"/>
      <c r="QI13" s="192"/>
      <c r="QJ13" s="192"/>
      <c r="QK13" s="192"/>
      <c r="QL13" s="192"/>
      <c r="QM13" s="192"/>
      <c r="QN13" s="192"/>
      <c r="QO13" s="192"/>
      <c r="QP13" s="192"/>
      <c r="QQ13" s="192"/>
      <c r="QR13" s="192"/>
      <c r="QS13" s="192"/>
      <c r="QT13" s="192"/>
      <c r="QU13" s="192"/>
      <c r="QV13" s="192"/>
      <c r="QW13" s="192"/>
      <c r="QX13" s="192"/>
      <c r="QY13" s="192"/>
      <c r="QZ13" s="192"/>
      <c r="RA13" s="192"/>
      <c r="RB13" s="192"/>
      <c r="RC13" s="192"/>
      <c r="RD13" s="192"/>
      <c r="RE13" s="192"/>
      <c r="RF13" s="192"/>
      <c r="RG13" s="192"/>
      <c r="RH13" s="192"/>
      <c r="RI13" s="192"/>
      <c r="RJ13" s="192"/>
      <c r="RK13" s="192"/>
      <c r="RL13" s="192"/>
      <c r="RM13" s="192"/>
      <c r="RN13" s="192"/>
      <c r="RO13" s="192"/>
      <c r="RP13" s="192"/>
      <c r="RQ13" s="193"/>
      <c r="RR13" s="90"/>
    </row>
    <row r="14" spans="1:486" ht="12.75" customHeight="1" thickBot="1" x14ac:dyDescent="0.35">
      <c r="B14" s="96"/>
      <c r="C14" s="203"/>
      <c r="D14" s="145"/>
      <c r="E14" s="205"/>
      <c r="F14" s="103"/>
      <c r="G14" s="104"/>
      <c r="H14" s="104"/>
      <c r="I14" s="104"/>
      <c r="J14" s="194" t="s">
        <v>36</v>
      </c>
      <c r="K14" s="194"/>
      <c r="L14" s="194"/>
      <c r="M14" s="194"/>
      <c r="N14" s="104"/>
      <c r="O14" s="104"/>
      <c r="P14" s="195" t="s">
        <v>24</v>
      </c>
      <c r="Q14" s="195"/>
      <c r="R14" s="195"/>
      <c r="S14" s="195"/>
      <c r="T14" s="129"/>
      <c r="U14" s="129"/>
      <c r="V14" s="194" t="s">
        <v>37</v>
      </c>
      <c r="W14" s="194"/>
      <c r="X14" s="194"/>
      <c r="Y14" s="194"/>
      <c r="Z14" s="104"/>
      <c r="AA14" s="104"/>
      <c r="AB14" s="195" t="s">
        <v>25</v>
      </c>
      <c r="AC14" s="195"/>
      <c r="AD14" s="195"/>
      <c r="AE14" s="195"/>
      <c r="AF14" s="129"/>
      <c r="AG14" s="129"/>
      <c r="AH14" s="194" t="s">
        <v>38</v>
      </c>
      <c r="AI14" s="194"/>
      <c r="AJ14" s="194"/>
      <c r="AK14" s="194"/>
      <c r="AL14" s="104"/>
      <c r="AM14" s="104"/>
      <c r="AN14" s="195" t="s">
        <v>26</v>
      </c>
      <c r="AO14" s="195"/>
      <c r="AP14" s="195"/>
      <c r="AQ14" s="195"/>
      <c r="AR14" s="129"/>
      <c r="AS14" s="129"/>
      <c r="AT14" s="194" t="s">
        <v>39</v>
      </c>
      <c r="AU14" s="194"/>
      <c r="AV14" s="194"/>
      <c r="AW14" s="194"/>
      <c r="AX14" s="104"/>
      <c r="AY14" s="104"/>
      <c r="AZ14" s="195" t="s">
        <v>27</v>
      </c>
      <c r="BA14" s="195"/>
      <c r="BB14" s="195"/>
      <c r="BC14" s="195"/>
      <c r="BD14" s="129"/>
      <c r="BE14" s="129"/>
      <c r="BF14" s="194" t="s">
        <v>40</v>
      </c>
      <c r="BG14" s="194"/>
      <c r="BH14" s="194"/>
      <c r="BI14" s="194"/>
      <c r="BJ14" s="104"/>
      <c r="BK14" s="104"/>
      <c r="BL14" s="104"/>
      <c r="BM14" s="105"/>
      <c r="BN14" s="103"/>
      <c r="BO14" s="104"/>
      <c r="BP14" s="104"/>
      <c r="BQ14" s="104"/>
      <c r="BR14" s="194" t="s">
        <v>36</v>
      </c>
      <c r="BS14" s="194"/>
      <c r="BT14" s="194"/>
      <c r="BU14" s="194"/>
      <c r="BV14" s="104"/>
      <c r="BW14" s="104"/>
      <c r="BX14" s="195" t="s">
        <v>24</v>
      </c>
      <c r="BY14" s="195"/>
      <c r="BZ14" s="195"/>
      <c r="CA14" s="195"/>
      <c r="CB14" s="129"/>
      <c r="CC14" s="129"/>
      <c r="CD14" s="194" t="s">
        <v>37</v>
      </c>
      <c r="CE14" s="194"/>
      <c r="CF14" s="194"/>
      <c r="CG14" s="194"/>
      <c r="CH14" s="104"/>
      <c r="CI14" s="104"/>
      <c r="CJ14" s="195" t="s">
        <v>25</v>
      </c>
      <c r="CK14" s="195"/>
      <c r="CL14" s="195"/>
      <c r="CM14" s="195"/>
      <c r="CN14" s="129"/>
      <c r="CO14" s="129"/>
      <c r="CP14" s="194" t="s">
        <v>38</v>
      </c>
      <c r="CQ14" s="194"/>
      <c r="CR14" s="194"/>
      <c r="CS14" s="194"/>
      <c r="CT14" s="104"/>
      <c r="CU14" s="104"/>
      <c r="CV14" s="195" t="s">
        <v>26</v>
      </c>
      <c r="CW14" s="195"/>
      <c r="CX14" s="195"/>
      <c r="CY14" s="195"/>
      <c r="CZ14" s="129"/>
      <c r="DA14" s="129"/>
      <c r="DB14" s="194" t="s">
        <v>39</v>
      </c>
      <c r="DC14" s="194"/>
      <c r="DD14" s="194"/>
      <c r="DE14" s="194"/>
      <c r="DF14" s="104"/>
      <c r="DG14" s="104"/>
      <c r="DH14" s="195" t="s">
        <v>27</v>
      </c>
      <c r="DI14" s="195"/>
      <c r="DJ14" s="195"/>
      <c r="DK14" s="195"/>
      <c r="DL14" s="129"/>
      <c r="DM14" s="129"/>
      <c r="DN14" s="194" t="s">
        <v>40</v>
      </c>
      <c r="DO14" s="194"/>
      <c r="DP14" s="194"/>
      <c r="DQ14" s="194"/>
      <c r="DR14" s="104"/>
      <c r="DS14" s="104"/>
      <c r="DT14" s="104"/>
      <c r="DU14" s="105"/>
      <c r="DV14" s="103"/>
      <c r="DW14" s="104"/>
      <c r="DX14" s="104"/>
      <c r="DY14" s="104"/>
      <c r="DZ14" s="194" t="s">
        <v>36</v>
      </c>
      <c r="EA14" s="194"/>
      <c r="EB14" s="194"/>
      <c r="EC14" s="194"/>
      <c r="ED14" s="104"/>
      <c r="EE14" s="104"/>
      <c r="EF14" s="195" t="s">
        <v>24</v>
      </c>
      <c r="EG14" s="195"/>
      <c r="EH14" s="195"/>
      <c r="EI14" s="195"/>
      <c r="EJ14" s="129"/>
      <c r="EK14" s="129"/>
      <c r="EL14" s="194" t="s">
        <v>37</v>
      </c>
      <c r="EM14" s="194"/>
      <c r="EN14" s="194"/>
      <c r="EO14" s="194"/>
      <c r="EP14" s="104"/>
      <c r="EQ14" s="104"/>
      <c r="ER14" s="195" t="s">
        <v>25</v>
      </c>
      <c r="ES14" s="195"/>
      <c r="ET14" s="195"/>
      <c r="EU14" s="195"/>
      <c r="EV14" s="129"/>
      <c r="EW14" s="129"/>
      <c r="EX14" s="194" t="s">
        <v>38</v>
      </c>
      <c r="EY14" s="194"/>
      <c r="EZ14" s="194"/>
      <c r="FA14" s="194"/>
      <c r="FB14" s="104"/>
      <c r="FC14" s="104"/>
      <c r="FD14" s="195" t="s">
        <v>26</v>
      </c>
      <c r="FE14" s="195"/>
      <c r="FF14" s="195"/>
      <c r="FG14" s="195"/>
      <c r="FH14" s="129"/>
      <c r="FI14" s="129"/>
      <c r="FJ14" s="194" t="s">
        <v>39</v>
      </c>
      <c r="FK14" s="194"/>
      <c r="FL14" s="194"/>
      <c r="FM14" s="194"/>
      <c r="FN14" s="104"/>
      <c r="FO14" s="104"/>
      <c r="FP14" s="195" t="s">
        <v>27</v>
      </c>
      <c r="FQ14" s="195"/>
      <c r="FR14" s="195"/>
      <c r="FS14" s="195"/>
      <c r="FT14" s="129"/>
      <c r="FU14" s="129"/>
      <c r="FV14" s="194" t="s">
        <v>40</v>
      </c>
      <c r="FW14" s="194"/>
      <c r="FX14" s="194"/>
      <c r="FY14" s="194"/>
      <c r="FZ14" s="104"/>
      <c r="GA14" s="104"/>
      <c r="GB14" s="104"/>
      <c r="GC14" s="105"/>
      <c r="GD14" s="103"/>
      <c r="GE14" s="104"/>
      <c r="GF14" s="104"/>
      <c r="GG14" s="104"/>
      <c r="GH14" s="194" t="s">
        <v>36</v>
      </c>
      <c r="GI14" s="194"/>
      <c r="GJ14" s="194"/>
      <c r="GK14" s="194"/>
      <c r="GL14" s="104"/>
      <c r="GM14" s="104"/>
      <c r="GN14" s="195" t="s">
        <v>24</v>
      </c>
      <c r="GO14" s="195"/>
      <c r="GP14" s="195"/>
      <c r="GQ14" s="195"/>
      <c r="GR14" s="129"/>
      <c r="GS14" s="129"/>
      <c r="GT14" s="194" t="s">
        <v>37</v>
      </c>
      <c r="GU14" s="194"/>
      <c r="GV14" s="194"/>
      <c r="GW14" s="194"/>
      <c r="GX14" s="104"/>
      <c r="GY14" s="104"/>
      <c r="GZ14" s="195" t="s">
        <v>25</v>
      </c>
      <c r="HA14" s="195"/>
      <c r="HB14" s="195"/>
      <c r="HC14" s="195"/>
      <c r="HD14" s="129"/>
      <c r="HE14" s="129"/>
      <c r="HF14" s="194" t="s">
        <v>38</v>
      </c>
      <c r="HG14" s="194"/>
      <c r="HH14" s="194"/>
      <c r="HI14" s="194"/>
      <c r="HJ14" s="104"/>
      <c r="HK14" s="104"/>
      <c r="HL14" s="195" t="s">
        <v>26</v>
      </c>
      <c r="HM14" s="195"/>
      <c r="HN14" s="195"/>
      <c r="HO14" s="195"/>
      <c r="HP14" s="129"/>
      <c r="HQ14" s="129"/>
      <c r="HR14" s="194" t="s">
        <v>39</v>
      </c>
      <c r="HS14" s="194"/>
      <c r="HT14" s="194"/>
      <c r="HU14" s="194"/>
      <c r="HV14" s="104"/>
      <c r="HW14" s="104"/>
      <c r="HX14" s="195" t="s">
        <v>27</v>
      </c>
      <c r="HY14" s="195"/>
      <c r="HZ14" s="195"/>
      <c r="IA14" s="195"/>
      <c r="IB14" s="129"/>
      <c r="IC14" s="129"/>
      <c r="ID14" s="194" t="s">
        <v>40</v>
      </c>
      <c r="IE14" s="194"/>
      <c r="IF14" s="194"/>
      <c r="IG14" s="194"/>
      <c r="IH14" s="104"/>
      <c r="II14" s="104"/>
      <c r="IJ14" s="104"/>
      <c r="IK14" s="105"/>
      <c r="IL14" s="103"/>
      <c r="IM14" s="104"/>
      <c r="IN14" s="104"/>
      <c r="IO14" s="104"/>
      <c r="IP14" s="194" t="s">
        <v>36</v>
      </c>
      <c r="IQ14" s="194"/>
      <c r="IR14" s="194"/>
      <c r="IS14" s="194"/>
      <c r="IT14" s="104"/>
      <c r="IU14" s="104"/>
      <c r="IV14" s="195" t="s">
        <v>24</v>
      </c>
      <c r="IW14" s="195"/>
      <c r="IX14" s="195"/>
      <c r="IY14" s="195"/>
      <c r="IZ14" s="129"/>
      <c r="JA14" s="129"/>
      <c r="JB14" s="194" t="s">
        <v>37</v>
      </c>
      <c r="JC14" s="194"/>
      <c r="JD14" s="194"/>
      <c r="JE14" s="194"/>
      <c r="JF14" s="104"/>
      <c r="JG14" s="104"/>
      <c r="JH14" s="195" t="s">
        <v>25</v>
      </c>
      <c r="JI14" s="195"/>
      <c r="JJ14" s="195"/>
      <c r="JK14" s="195"/>
      <c r="JL14" s="129"/>
      <c r="JM14" s="129"/>
      <c r="JN14" s="194" t="s">
        <v>38</v>
      </c>
      <c r="JO14" s="194"/>
      <c r="JP14" s="194"/>
      <c r="JQ14" s="194"/>
      <c r="JR14" s="104"/>
      <c r="JS14" s="104"/>
      <c r="JT14" s="195" t="s">
        <v>26</v>
      </c>
      <c r="JU14" s="195"/>
      <c r="JV14" s="195"/>
      <c r="JW14" s="195"/>
      <c r="JX14" s="129"/>
      <c r="JY14" s="129"/>
      <c r="JZ14" s="194" t="s">
        <v>39</v>
      </c>
      <c r="KA14" s="194"/>
      <c r="KB14" s="194"/>
      <c r="KC14" s="194"/>
      <c r="KD14" s="104"/>
      <c r="KE14" s="104"/>
      <c r="KF14" s="195" t="s">
        <v>27</v>
      </c>
      <c r="KG14" s="195"/>
      <c r="KH14" s="195"/>
      <c r="KI14" s="195"/>
      <c r="KJ14" s="129"/>
      <c r="KK14" s="129"/>
      <c r="KL14" s="194" t="s">
        <v>40</v>
      </c>
      <c r="KM14" s="194"/>
      <c r="KN14" s="194"/>
      <c r="KO14" s="194"/>
      <c r="KP14" s="104"/>
      <c r="KQ14" s="104"/>
      <c r="KR14" s="104"/>
      <c r="KS14" s="105"/>
      <c r="KT14" s="103"/>
      <c r="KU14" s="104"/>
      <c r="KV14" s="104"/>
      <c r="KW14" s="104"/>
      <c r="KX14" s="194" t="s">
        <v>36</v>
      </c>
      <c r="KY14" s="194"/>
      <c r="KZ14" s="194"/>
      <c r="LA14" s="194"/>
      <c r="LB14" s="104"/>
      <c r="LC14" s="104"/>
      <c r="LD14" s="195" t="s">
        <v>24</v>
      </c>
      <c r="LE14" s="195"/>
      <c r="LF14" s="195"/>
      <c r="LG14" s="195"/>
      <c r="LH14" s="129"/>
      <c r="LI14" s="129"/>
      <c r="LJ14" s="194" t="s">
        <v>37</v>
      </c>
      <c r="LK14" s="194"/>
      <c r="LL14" s="194"/>
      <c r="LM14" s="194"/>
      <c r="LN14" s="104"/>
      <c r="LO14" s="104"/>
      <c r="LP14" s="195" t="s">
        <v>25</v>
      </c>
      <c r="LQ14" s="195"/>
      <c r="LR14" s="195"/>
      <c r="LS14" s="195"/>
      <c r="LT14" s="129"/>
      <c r="LU14" s="129"/>
      <c r="LV14" s="194" t="s">
        <v>38</v>
      </c>
      <c r="LW14" s="194"/>
      <c r="LX14" s="194"/>
      <c r="LY14" s="194"/>
      <c r="LZ14" s="104"/>
      <c r="MA14" s="104"/>
      <c r="MB14" s="195" t="s">
        <v>26</v>
      </c>
      <c r="MC14" s="195"/>
      <c r="MD14" s="195"/>
      <c r="ME14" s="195"/>
      <c r="MF14" s="129"/>
      <c r="MG14" s="129"/>
      <c r="MH14" s="194" t="s">
        <v>39</v>
      </c>
      <c r="MI14" s="194"/>
      <c r="MJ14" s="194"/>
      <c r="MK14" s="194"/>
      <c r="ML14" s="104"/>
      <c r="MM14" s="104"/>
      <c r="MN14" s="195" t="s">
        <v>27</v>
      </c>
      <c r="MO14" s="195"/>
      <c r="MP14" s="195"/>
      <c r="MQ14" s="195"/>
      <c r="MR14" s="129"/>
      <c r="MS14" s="129"/>
      <c r="MT14" s="194" t="s">
        <v>40</v>
      </c>
      <c r="MU14" s="194"/>
      <c r="MV14" s="194"/>
      <c r="MW14" s="194"/>
      <c r="MX14" s="104"/>
      <c r="MY14" s="104"/>
      <c r="MZ14" s="104"/>
      <c r="NA14" s="105"/>
      <c r="NB14" s="103"/>
      <c r="NC14" s="104"/>
      <c r="ND14" s="104"/>
      <c r="NE14" s="104"/>
      <c r="NF14" s="194" t="s">
        <v>36</v>
      </c>
      <c r="NG14" s="194"/>
      <c r="NH14" s="194"/>
      <c r="NI14" s="194"/>
      <c r="NJ14" s="104"/>
      <c r="NK14" s="104"/>
      <c r="NL14" s="195" t="s">
        <v>24</v>
      </c>
      <c r="NM14" s="195"/>
      <c r="NN14" s="195"/>
      <c r="NO14" s="195"/>
      <c r="NP14" s="129"/>
      <c r="NQ14" s="129"/>
      <c r="NR14" s="194" t="s">
        <v>37</v>
      </c>
      <c r="NS14" s="194"/>
      <c r="NT14" s="194"/>
      <c r="NU14" s="194"/>
      <c r="NV14" s="104"/>
      <c r="NW14" s="104"/>
      <c r="NX14" s="195" t="s">
        <v>25</v>
      </c>
      <c r="NY14" s="195"/>
      <c r="NZ14" s="195"/>
      <c r="OA14" s="195"/>
      <c r="OB14" s="129"/>
      <c r="OC14" s="129"/>
      <c r="OD14" s="194" t="s">
        <v>38</v>
      </c>
      <c r="OE14" s="194"/>
      <c r="OF14" s="194"/>
      <c r="OG14" s="194"/>
      <c r="OH14" s="104"/>
      <c r="OI14" s="104"/>
      <c r="OJ14" s="195" t="s">
        <v>26</v>
      </c>
      <c r="OK14" s="195"/>
      <c r="OL14" s="195"/>
      <c r="OM14" s="195"/>
      <c r="ON14" s="129"/>
      <c r="OO14" s="129"/>
      <c r="OP14" s="194" t="s">
        <v>39</v>
      </c>
      <c r="OQ14" s="194"/>
      <c r="OR14" s="194"/>
      <c r="OS14" s="194"/>
      <c r="OT14" s="104"/>
      <c r="OU14" s="104"/>
      <c r="OV14" s="195" t="s">
        <v>27</v>
      </c>
      <c r="OW14" s="195"/>
      <c r="OX14" s="195"/>
      <c r="OY14" s="195"/>
      <c r="OZ14" s="129"/>
      <c r="PA14" s="129"/>
      <c r="PB14" s="194" t="s">
        <v>40</v>
      </c>
      <c r="PC14" s="194"/>
      <c r="PD14" s="194"/>
      <c r="PE14" s="194"/>
      <c r="PF14" s="104"/>
      <c r="PG14" s="104"/>
      <c r="PH14" s="104"/>
      <c r="PI14" s="105"/>
      <c r="PJ14" s="103"/>
      <c r="PK14" s="104"/>
      <c r="PL14" s="104"/>
      <c r="PM14" s="104"/>
      <c r="PN14" s="194" t="s">
        <v>36</v>
      </c>
      <c r="PO14" s="194"/>
      <c r="PP14" s="194"/>
      <c r="PQ14" s="194"/>
      <c r="PR14" s="104"/>
      <c r="PS14" s="104"/>
      <c r="PT14" s="195" t="s">
        <v>24</v>
      </c>
      <c r="PU14" s="195"/>
      <c r="PV14" s="195"/>
      <c r="PW14" s="195"/>
      <c r="PX14" s="129"/>
      <c r="PY14" s="129"/>
      <c r="PZ14" s="194" t="s">
        <v>37</v>
      </c>
      <c r="QA14" s="194"/>
      <c r="QB14" s="194"/>
      <c r="QC14" s="194"/>
      <c r="QD14" s="104"/>
      <c r="QE14" s="104"/>
      <c r="QF14" s="195" t="s">
        <v>25</v>
      </c>
      <c r="QG14" s="195"/>
      <c r="QH14" s="195"/>
      <c r="QI14" s="195"/>
      <c r="QJ14" s="129"/>
      <c r="QK14" s="129"/>
      <c r="QL14" s="194" t="s">
        <v>38</v>
      </c>
      <c r="QM14" s="194"/>
      <c r="QN14" s="194"/>
      <c r="QO14" s="194"/>
      <c r="QP14" s="104"/>
      <c r="QQ14" s="104"/>
      <c r="QR14" s="195" t="s">
        <v>26</v>
      </c>
      <c r="QS14" s="195"/>
      <c r="QT14" s="195"/>
      <c r="QU14" s="195"/>
      <c r="QV14" s="129"/>
      <c r="QW14" s="129"/>
      <c r="QX14" s="194" t="s">
        <v>39</v>
      </c>
      <c r="QY14" s="194"/>
      <c r="QZ14" s="194"/>
      <c r="RA14" s="194"/>
      <c r="RB14" s="104"/>
      <c r="RC14" s="104"/>
      <c r="RD14" s="195" t="s">
        <v>27</v>
      </c>
      <c r="RE14" s="195"/>
      <c r="RF14" s="195"/>
      <c r="RG14" s="195"/>
      <c r="RH14" s="129"/>
      <c r="RI14" s="129"/>
      <c r="RJ14" s="194" t="s">
        <v>40</v>
      </c>
      <c r="RK14" s="194"/>
      <c r="RL14" s="194"/>
      <c r="RM14" s="194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98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199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198" t="s">
        <v>32</v>
      </c>
      <c r="D17" s="146" t="str">
        <f t="shared" si="0"/>
        <v>0h45min</v>
      </c>
      <c r="E17" s="31">
        <v>9</v>
      </c>
      <c r="F17" s="165"/>
      <c r="G17" s="166"/>
      <c r="H17" s="166"/>
      <c r="I17" s="166"/>
      <c r="J17" s="167"/>
      <c r="K17" s="168"/>
      <c r="L17" s="167"/>
      <c r="M17" s="167"/>
      <c r="N17" s="167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Doc - Journal de travail</v>
      </c>
      <c r="C18" s="199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Doc - Rapport</v>
      </c>
      <c r="C19" s="198" t="s">
        <v>33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/>
      </c>
      <c r="C20" s="200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/>
      </c>
      <c r="C21" s="198" t="s">
        <v>17</v>
      </c>
      <c r="D21" s="146" t="str">
        <f t="shared" si="0"/>
        <v>0h35min</v>
      </c>
      <c r="E21" s="31">
        <v>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69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69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69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69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167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167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165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/>
      </c>
      <c r="C22" s="200"/>
      <c r="D22" s="147" t="str">
        <f t="shared" si="0"/>
        <v>0h25min</v>
      </c>
      <c r="E22" s="35">
        <v>5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178"/>
      <c r="AA22" s="178"/>
      <c r="AB22" s="178"/>
      <c r="AC22" s="180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17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aider les autres</v>
      </c>
      <c r="C23" s="198" t="s">
        <v>16</v>
      </c>
      <c r="D23" s="146" t="str">
        <f t="shared" si="0"/>
        <v>2h30min</v>
      </c>
      <c r="E23" s="39">
        <v>30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171"/>
      <c r="CM23" s="171"/>
      <c r="CN23" s="17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171"/>
      <c r="EU23" s="171"/>
      <c r="EV23" s="17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171"/>
      <c r="HC23" s="171"/>
      <c r="HD23" s="17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171"/>
      <c r="JK23" s="171"/>
      <c r="JL23" s="17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171"/>
      <c r="LP23" s="171"/>
      <c r="LQ23" s="173"/>
      <c r="LR23" s="171"/>
      <c r="LS23" s="171"/>
      <c r="LT23" s="17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171"/>
      <c r="NX23" s="171"/>
      <c r="NY23" s="173"/>
      <c r="NZ23" s="171"/>
      <c r="OA23" s="171"/>
      <c r="OB23" s="17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184"/>
      <c r="PL23" s="184"/>
      <c r="PM23" s="184"/>
      <c r="PN23" s="171"/>
      <c r="PO23" s="175"/>
      <c r="PP23" s="17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>ux - personnas</v>
      </c>
      <c r="C24" s="200"/>
      <c r="D24" s="147" t="str">
        <f t="shared" si="0"/>
        <v>0h15min</v>
      </c>
      <c r="E24" s="27">
        <v>3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182"/>
      <c r="AE24" s="182"/>
      <c r="AF24" s="182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>ux - wireframe</v>
      </c>
      <c r="C25" s="198"/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>ux - maquette</v>
      </c>
      <c r="C26" s="199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198"/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199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198"/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199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198" t="s">
        <v>50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199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198" t="s">
        <v>60</v>
      </c>
      <c r="D33" s="146" t="str">
        <f t="shared" si="0"/>
        <v>5h</v>
      </c>
      <c r="E33" s="31">
        <v>60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165"/>
      <c r="KU33" s="166"/>
      <c r="KV33" s="166"/>
      <c r="KW33" s="166"/>
      <c r="KX33" s="167"/>
      <c r="KY33" s="168"/>
      <c r="KZ33" s="167"/>
      <c r="LA33" s="167"/>
      <c r="LB33" s="167"/>
      <c r="LC33" s="167"/>
      <c r="LD33" s="167"/>
      <c r="LE33" s="169"/>
      <c r="LF33" s="167"/>
      <c r="LG33" s="167"/>
      <c r="LH33" s="167"/>
      <c r="LI33" s="167"/>
      <c r="LJ33" s="167"/>
      <c r="LK33" s="170"/>
      <c r="LL33" s="167"/>
      <c r="LM33" s="167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165"/>
      <c r="NC33" s="166"/>
      <c r="ND33" s="166"/>
      <c r="NE33" s="166"/>
      <c r="NF33" s="167"/>
      <c r="NG33" s="168"/>
      <c r="NH33" s="167"/>
      <c r="NI33" s="167"/>
      <c r="NJ33" s="167"/>
      <c r="NK33" s="167"/>
      <c r="NL33" s="167"/>
      <c r="NM33" s="169"/>
      <c r="NN33" s="167"/>
      <c r="NO33" s="167"/>
      <c r="NP33" s="167"/>
      <c r="NQ33" s="167"/>
      <c r="NR33" s="167"/>
      <c r="NS33" s="170"/>
      <c r="NT33" s="167"/>
      <c r="NU33" s="167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167"/>
      <c r="PR33" s="167"/>
      <c r="PS33" s="167"/>
      <c r="PT33" s="167"/>
      <c r="PU33" s="169"/>
      <c r="PV33" s="167"/>
      <c r="PW33" s="167"/>
      <c r="PX33" s="167"/>
      <c r="PY33" s="167"/>
      <c r="PZ33" s="167"/>
      <c r="QA33" s="170"/>
      <c r="QB33" s="167"/>
      <c r="QC33" s="167"/>
      <c r="QD33" s="167"/>
      <c r="QE33" s="167"/>
      <c r="QF33" s="167"/>
      <c r="QG33" s="169"/>
      <c r="QH33" s="167"/>
      <c r="QI33" s="167"/>
      <c r="QJ33" s="167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199"/>
      <c r="D34" s="148" t="str">
        <f t="shared" si="0"/>
        <v>3h10min</v>
      </c>
      <c r="E34" s="35">
        <v>38</v>
      </c>
      <c r="F34" s="176"/>
      <c r="G34" s="177"/>
      <c r="H34" s="177"/>
      <c r="I34" s="177"/>
      <c r="J34" s="178"/>
      <c r="K34" s="179"/>
      <c r="L34" s="178"/>
      <c r="M34" s="178"/>
      <c r="N34" s="178"/>
      <c r="O34" s="178"/>
      <c r="P34" s="178"/>
      <c r="Q34" s="180"/>
      <c r="R34" s="178"/>
      <c r="S34" s="178"/>
      <c r="T34" s="178"/>
      <c r="U34" s="178"/>
      <c r="V34" s="178"/>
      <c r="W34" s="181"/>
      <c r="X34" s="178"/>
      <c r="Y34" s="178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177"/>
      <c r="BP34" s="177"/>
      <c r="BQ34" s="177"/>
      <c r="BR34" s="178"/>
      <c r="BS34" s="179"/>
      <c r="BT34" s="178"/>
      <c r="BU34" s="178"/>
      <c r="BV34" s="178"/>
      <c r="BW34" s="178"/>
      <c r="BX34" s="178"/>
      <c r="BY34" s="180"/>
      <c r="BZ34" s="178"/>
      <c r="CA34" s="178"/>
      <c r="CB34" s="178"/>
      <c r="CC34" s="178"/>
      <c r="CD34" s="178"/>
      <c r="CE34" s="181"/>
      <c r="CF34" s="178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198" t="s">
        <v>52</v>
      </c>
      <c r="D35" s="146" t="str">
        <f t="shared" si="0"/>
        <v>3h50min</v>
      </c>
      <c r="E35" s="39">
        <v>46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183"/>
      <c r="BO35" s="184"/>
      <c r="BP35" s="184"/>
      <c r="BQ35" s="184"/>
      <c r="BR35" s="171"/>
      <c r="BS35" s="175"/>
      <c r="BT35" s="171"/>
      <c r="BU35" s="171"/>
      <c r="BV35" s="171"/>
      <c r="BW35" s="171"/>
      <c r="BX35" s="171"/>
      <c r="BY35" s="173"/>
      <c r="BZ35" s="171"/>
      <c r="CA35" s="171"/>
      <c r="CB35" s="171"/>
      <c r="CC35" s="171"/>
      <c r="CD35" s="171"/>
      <c r="CE35" s="172"/>
      <c r="CF35" s="171"/>
      <c r="CG35" s="171"/>
      <c r="CH35" s="171"/>
      <c r="CI35" s="171"/>
      <c r="CJ35" s="17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183"/>
      <c r="DW35" s="184"/>
      <c r="DX35" s="184"/>
      <c r="DY35" s="184"/>
      <c r="DZ35" s="171"/>
      <c r="EA35" s="175"/>
      <c r="EB35" s="171"/>
      <c r="EC35" s="171"/>
      <c r="ED35" s="171"/>
      <c r="EE35" s="171"/>
      <c r="EF35" s="171"/>
      <c r="EG35" s="173"/>
      <c r="EH35" s="171"/>
      <c r="EI35" s="171"/>
      <c r="EJ35" s="171"/>
      <c r="EK35" s="171"/>
      <c r="EL35" s="171"/>
      <c r="EM35" s="172"/>
      <c r="EN35" s="171"/>
      <c r="EO35" s="171"/>
      <c r="EP35" s="171"/>
      <c r="EQ35" s="171"/>
      <c r="ER35" s="17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200"/>
      <c r="D36" s="147" t="str">
        <f t="shared" si="0"/>
        <v>0h40min</v>
      </c>
      <c r="E36" s="27">
        <v>8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182"/>
      <c r="CH36" s="182"/>
      <c r="CI36" s="182"/>
      <c r="CJ36" s="182"/>
      <c r="CK36" s="185"/>
      <c r="CL36" s="182"/>
      <c r="CM36" s="182"/>
      <c r="CN36" s="182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198" t="s">
        <v>53</v>
      </c>
      <c r="D37" s="146" t="str">
        <f t="shared" si="0"/>
        <v>3h50min</v>
      </c>
      <c r="E37" s="31">
        <v>46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165"/>
      <c r="GE37" s="166"/>
      <c r="GF37" s="166"/>
      <c r="GG37" s="166"/>
      <c r="GH37" s="167"/>
      <c r="GI37" s="168"/>
      <c r="GJ37" s="167"/>
      <c r="GK37" s="167"/>
      <c r="GL37" s="167"/>
      <c r="GM37" s="167"/>
      <c r="GN37" s="167"/>
      <c r="GO37" s="169"/>
      <c r="GP37" s="167"/>
      <c r="GQ37" s="167"/>
      <c r="GR37" s="167"/>
      <c r="GS37" s="167"/>
      <c r="GT37" s="167"/>
      <c r="GU37" s="170"/>
      <c r="GV37" s="167"/>
      <c r="GW37" s="167"/>
      <c r="GX37" s="167"/>
      <c r="GY37" s="167"/>
      <c r="GZ37" s="167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165"/>
      <c r="IM37" s="166"/>
      <c r="IN37" s="166"/>
      <c r="IO37" s="166"/>
      <c r="IP37" s="167"/>
      <c r="IQ37" s="168"/>
      <c r="IR37" s="167"/>
      <c r="IS37" s="167"/>
      <c r="IT37" s="167"/>
      <c r="IU37" s="167"/>
      <c r="IV37" s="167"/>
      <c r="IW37" s="169"/>
      <c r="IX37" s="167"/>
      <c r="IY37" s="167"/>
      <c r="IZ37" s="167"/>
      <c r="JA37" s="167"/>
      <c r="JB37" s="167"/>
      <c r="JC37" s="170"/>
      <c r="JD37" s="167"/>
      <c r="JE37" s="167"/>
      <c r="JF37" s="167"/>
      <c r="JG37" s="167"/>
      <c r="JH37" s="167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199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198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200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198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199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198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199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198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200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198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199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198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199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198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200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198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199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198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200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198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199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198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199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198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200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198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199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198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199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198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200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198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199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198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200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198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199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198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199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198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200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198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199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198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199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198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200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198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199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198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200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198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199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198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199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198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200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216" t="s">
        <v>9</v>
      </c>
      <c r="D95" s="217"/>
      <c r="E95" s="117">
        <f>SUM(E15,E17,E19,E21,E23,E25,E27,E29,E31,E33,E35,E37,E39,E41,E43,E45,E47,E49,E51,E53,E55,E57,E59,E61,E63,E65,E67,E69,E71,E73,E75,E77,E79,E81,E83,E85,E87,E89,E91,E93)</f>
        <v>198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218"/>
      <c r="D96" s="219"/>
      <c r="E96" s="123" t="str">
        <f xml:space="preserve"> setValueToTime(E95)</f>
        <v>16h30min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212" t="s">
        <v>10</v>
      </c>
      <c r="D97" s="213"/>
      <c r="E97" s="118">
        <f>SUM(E16,E18,E20,E22,E24,E26,E28,E30,E32,E34,E36,E38,E40,E42,E44,E46,E48,E50,E52,E54,E56,E58,E60,E62,E64,E66,E68,E70,E72,E74,E76,E78,E80,E82,E84,E86,E88,E90,E92,E94)</f>
        <v>54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214"/>
      <c r="D98" s="215"/>
      <c r="E98" s="122" t="str">
        <f xml:space="preserve"> setValueToTime(E97)</f>
        <v>4h30min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topLeftCell="E1" zoomScaleNormal="100" zoomScaleSheetLayoutView="98" workbookViewId="0">
      <pane ySplit="1" topLeftCell="A88" activePane="bottomLeft" state="frozen"/>
      <selection activeCell="BC13" sqref="BC13"/>
      <selection pane="bottomLeft" activeCell="G97" sqref="G97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45534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26" t="s">
        <v>14</v>
      </c>
      <c r="F3" s="227"/>
      <c r="G3" s="46"/>
    </row>
    <row r="4" spans="1:7" s="52" customFormat="1" x14ac:dyDescent="0.3">
      <c r="A4" s="48" t="s">
        <v>17</v>
      </c>
      <c r="B4" s="49">
        <v>1</v>
      </c>
      <c r="C4" s="152" t="str">
        <f xml:space="preserve"> IF(B4="","",setValueToTime(B4))</f>
        <v>0h5min</v>
      </c>
      <c r="D4" s="50"/>
      <c r="E4" s="228"/>
      <c r="F4" s="229"/>
      <c r="G4" s="51"/>
    </row>
    <row r="5" spans="1:7" s="52" customFormat="1" x14ac:dyDescent="0.3">
      <c r="A5" s="53" t="s">
        <v>16</v>
      </c>
      <c r="B5" s="54">
        <v>6</v>
      </c>
      <c r="C5" s="153" t="str">
        <f t="shared" ref="C5:C11" si="0" xml:space="preserve"> IF(B5="","",setValueToTime(B5))</f>
        <v>0h30min</v>
      </c>
      <c r="D5" s="55"/>
      <c r="E5" s="220"/>
      <c r="F5" s="221"/>
      <c r="G5" s="51"/>
    </row>
    <row r="6" spans="1:7" s="52" customFormat="1" x14ac:dyDescent="0.3">
      <c r="A6" s="53" t="s">
        <v>60</v>
      </c>
      <c r="B6" s="54">
        <v>20</v>
      </c>
      <c r="C6" s="153" t="str">
        <f t="shared" si="0"/>
        <v>1h40min</v>
      </c>
      <c r="D6" s="55"/>
      <c r="E6" s="220"/>
      <c r="F6" s="221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0"/>
      <c r="F7" s="22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0"/>
      <c r="F8" s="22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0"/>
      <c r="F9" s="221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0"/>
      <c r="F10" s="221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2"/>
      <c r="F11" s="223"/>
      <c r="G11" s="51"/>
    </row>
    <row r="12" spans="1:7" s="52" customFormat="1" ht="15" thickBot="1" x14ac:dyDescent="0.35">
      <c r="A12" s="111" t="s">
        <v>29</v>
      </c>
      <c r="B12" s="84">
        <f>SUM(B4:B11)</f>
        <v>27</v>
      </c>
      <c r="C12" s="111" t="str">
        <f xml:space="preserve"> setValueToTime(B12)</f>
        <v>2h15min</v>
      </c>
      <c r="D12" s="120"/>
      <c r="E12" s="224"/>
      <c r="F12" s="225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45534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26" t="s">
        <v>14</v>
      </c>
      <c r="F15" s="227"/>
      <c r="G15" s="46"/>
    </row>
    <row r="16" spans="1:7" s="52" customFormat="1" x14ac:dyDescent="0.3">
      <c r="A16" s="54" t="s">
        <v>60</v>
      </c>
      <c r="B16" s="54">
        <v>20</v>
      </c>
      <c r="C16" s="152" t="str">
        <f xml:space="preserve"> IF(B16="","",setValueToTime(B16))</f>
        <v>1h40min</v>
      </c>
      <c r="D16" s="50"/>
      <c r="E16" s="228"/>
      <c r="F16" s="229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20"/>
      <c r="F17" s="221"/>
      <c r="G17" s="51"/>
    </row>
    <row r="18" spans="1:7" s="52" customFormat="1" x14ac:dyDescent="0.3">
      <c r="A18" s="53" t="s">
        <v>16</v>
      </c>
      <c r="B18" s="54">
        <v>6</v>
      </c>
      <c r="C18" s="153" t="str">
        <f t="shared" si="1"/>
        <v>0h30min</v>
      </c>
      <c r="D18" s="55"/>
      <c r="E18" s="220"/>
      <c r="F18" s="221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0"/>
      <c r="F19" s="221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0"/>
      <c r="F20" s="221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0"/>
      <c r="F21" s="221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0"/>
      <c r="F22" s="221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2"/>
      <c r="F23" s="223"/>
      <c r="G23" s="51"/>
    </row>
    <row r="24" spans="1:7" s="52" customFormat="1" ht="15" thickBot="1" x14ac:dyDescent="0.35">
      <c r="A24" s="111" t="s">
        <v>29</v>
      </c>
      <c r="B24" s="84">
        <f>SUM(B16:B23)</f>
        <v>27</v>
      </c>
      <c r="C24" s="111" t="str">
        <f xml:space="preserve"> setValueToTime(B24)</f>
        <v>2h15min</v>
      </c>
      <c r="D24" s="120"/>
      <c r="E24" s="224"/>
      <c r="F24" s="225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45534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26" t="s">
        <v>14</v>
      </c>
      <c r="F27" s="227"/>
      <c r="G27" s="46"/>
    </row>
    <row r="28" spans="1:7" s="52" customFormat="1" x14ac:dyDescent="0.3">
      <c r="A28" s="54" t="s">
        <v>60</v>
      </c>
      <c r="B28" s="54">
        <v>20</v>
      </c>
      <c r="C28" s="152" t="str">
        <f xml:space="preserve"> IF(B28="","",setValueToTime(B28))</f>
        <v>1h40min</v>
      </c>
      <c r="D28" s="50"/>
      <c r="E28" s="228"/>
      <c r="F28" s="229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20"/>
      <c r="F29" s="221"/>
      <c r="G29" s="51"/>
    </row>
    <row r="30" spans="1:7" s="52" customFormat="1" x14ac:dyDescent="0.3">
      <c r="A30" s="53" t="s">
        <v>16</v>
      </c>
      <c r="B30" s="54">
        <v>6</v>
      </c>
      <c r="C30" s="153" t="str">
        <f t="shared" si="2"/>
        <v>0h30min</v>
      </c>
      <c r="D30" s="55"/>
      <c r="E30" s="220"/>
      <c r="F30" s="221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0"/>
      <c r="F31" s="221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0"/>
      <c r="F32" s="221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0"/>
      <c r="F33" s="221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0"/>
      <c r="F34" s="221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2"/>
      <c r="F35" s="223"/>
      <c r="G35" s="51"/>
    </row>
    <row r="36" spans="1:7" s="52" customFormat="1" ht="15" thickBot="1" x14ac:dyDescent="0.35">
      <c r="A36" s="111" t="s">
        <v>29</v>
      </c>
      <c r="B36" s="84">
        <f>SUM(B28:B35)</f>
        <v>27</v>
      </c>
      <c r="C36" s="111" t="str">
        <f xml:space="preserve"> setValueToTime(B36)</f>
        <v>2h15min</v>
      </c>
      <c r="D36" s="120"/>
      <c r="E36" s="224"/>
      <c r="F36" s="225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45534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26" t="s">
        <v>14</v>
      </c>
      <c r="F39" s="227"/>
      <c r="G39" s="46"/>
    </row>
    <row r="40" spans="1:7" s="52" customFormat="1" x14ac:dyDescent="0.3">
      <c r="A40" s="54" t="s">
        <v>53</v>
      </c>
      <c r="B40" s="54">
        <v>23</v>
      </c>
      <c r="C40" s="152" t="str">
        <f xml:space="preserve"> IF(B40="","",setValueToTime(B40))</f>
        <v>1h55min</v>
      </c>
      <c r="D40" s="50"/>
      <c r="E40" s="228"/>
      <c r="F40" s="229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20"/>
      <c r="F41" s="221"/>
      <c r="G41" s="51"/>
    </row>
    <row r="42" spans="1:7" s="52" customFormat="1" x14ac:dyDescent="0.3">
      <c r="A42" s="53" t="s">
        <v>16</v>
      </c>
      <c r="B42" s="54">
        <v>3</v>
      </c>
      <c r="C42" s="153" t="str">
        <f t="shared" si="3"/>
        <v>0h15min</v>
      </c>
      <c r="D42" s="55"/>
      <c r="E42" s="220"/>
      <c r="F42" s="221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0"/>
      <c r="F43" s="221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0"/>
      <c r="F44" s="221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0"/>
      <c r="F45" s="221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0"/>
      <c r="F46" s="221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2"/>
      <c r="F47" s="223"/>
      <c r="G47" s="51"/>
    </row>
    <row r="48" spans="1:7" s="52" customFormat="1" ht="15" thickBot="1" x14ac:dyDescent="0.35">
      <c r="A48" s="111" t="s">
        <v>29</v>
      </c>
      <c r="B48" s="84">
        <f>SUM(B40:B47)</f>
        <v>27</v>
      </c>
      <c r="C48" s="111" t="str">
        <f xml:space="preserve"> setValueToTime(B48)</f>
        <v>2h15min</v>
      </c>
      <c r="D48" s="120"/>
      <c r="E48" s="224"/>
      <c r="F48" s="225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45534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26" t="s">
        <v>14</v>
      </c>
      <c r="F51" s="227"/>
      <c r="G51" s="46"/>
    </row>
    <row r="52" spans="1:7" s="52" customFormat="1" x14ac:dyDescent="0.3">
      <c r="A52" s="54" t="s">
        <v>53</v>
      </c>
      <c r="B52" s="54">
        <v>23</v>
      </c>
      <c r="C52" s="152" t="str">
        <f xml:space="preserve"> IF(B52="","",setValueToTime(B52))</f>
        <v>1h55min</v>
      </c>
      <c r="D52" s="50"/>
      <c r="E52" s="228"/>
      <c r="F52" s="229"/>
      <c r="G52" s="51"/>
    </row>
    <row r="53" spans="1:7" s="52" customFormat="1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20"/>
      <c r="F53" s="221"/>
      <c r="G53" s="51"/>
    </row>
    <row r="54" spans="1:7" s="52" customFormat="1" x14ac:dyDescent="0.3">
      <c r="A54" s="53" t="s">
        <v>16</v>
      </c>
      <c r="B54" s="54">
        <v>3</v>
      </c>
      <c r="C54" s="153" t="str">
        <f t="shared" si="4"/>
        <v>0h15min</v>
      </c>
      <c r="D54" s="55"/>
      <c r="E54" s="220"/>
      <c r="F54" s="221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20"/>
      <c r="F55" s="221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0"/>
      <c r="F56" s="221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0"/>
      <c r="F57" s="221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0"/>
      <c r="F58" s="221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2"/>
      <c r="F59" s="223"/>
      <c r="G59" s="51"/>
    </row>
    <row r="60" spans="1:7" s="52" customFormat="1" ht="15" thickBot="1" x14ac:dyDescent="0.35">
      <c r="A60" s="111" t="s">
        <v>29</v>
      </c>
      <c r="B60" s="84">
        <f>SUM(B52:B59)</f>
        <v>27</v>
      </c>
      <c r="C60" s="111" t="str">
        <f xml:space="preserve"> setValueToTime(B60)</f>
        <v>2h15min</v>
      </c>
      <c r="D60" s="120"/>
      <c r="E60" s="224"/>
      <c r="F60" s="225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45534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26" t="s">
        <v>14</v>
      </c>
      <c r="F63" s="227"/>
      <c r="G63" s="46"/>
    </row>
    <row r="64" spans="1:7" s="52" customFormat="1" x14ac:dyDescent="0.3">
      <c r="A64" s="54" t="s">
        <v>52</v>
      </c>
      <c r="B64" s="54">
        <v>23</v>
      </c>
      <c r="C64" s="152" t="str">
        <f xml:space="preserve"> IF(B64="","",setValueToTime(B64))</f>
        <v>1h55min</v>
      </c>
      <c r="D64" s="50"/>
      <c r="E64" s="228"/>
      <c r="F64" s="229"/>
      <c r="G64" s="51"/>
    </row>
    <row r="65" spans="1:7" s="52" customFormat="1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20"/>
      <c r="F65" s="221"/>
      <c r="G65" s="51"/>
    </row>
    <row r="66" spans="1:7" s="52" customFormat="1" x14ac:dyDescent="0.3">
      <c r="A66" s="53" t="s">
        <v>16</v>
      </c>
      <c r="B66" s="54">
        <v>3</v>
      </c>
      <c r="C66" s="153" t="str">
        <f t="shared" si="5"/>
        <v>0h15min</v>
      </c>
      <c r="D66" s="55"/>
      <c r="E66" s="220"/>
      <c r="F66" s="221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20"/>
      <c r="F67" s="221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20"/>
      <c r="F68" s="221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0"/>
      <c r="F69" s="221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0"/>
      <c r="F70" s="221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2"/>
      <c r="F71" s="223"/>
      <c r="G71" s="51"/>
    </row>
    <row r="72" spans="1:7" s="52" customFormat="1" ht="15" thickBot="1" x14ac:dyDescent="0.35">
      <c r="A72" s="111" t="s">
        <v>29</v>
      </c>
      <c r="B72" s="84">
        <f>SUM(B64:B71)</f>
        <v>27</v>
      </c>
      <c r="C72" s="111" t="str">
        <f xml:space="preserve"> setValueToTime(B72)</f>
        <v>2h15min</v>
      </c>
      <c r="D72" s="120"/>
      <c r="E72" s="224"/>
      <c r="F72" s="225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45534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26" t="s">
        <v>14</v>
      </c>
      <c r="F75" s="227"/>
      <c r="G75" s="46"/>
    </row>
    <row r="76" spans="1:7" s="52" customFormat="1" x14ac:dyDescent="0.3">
      <c r="A76" s="54" t="s">
        <v>52</v>
      </c>
      <c r="B76" s="54">
        <v>23</v>
      </c>
      <c r="C76" s="152" t="str">
        <f xml:space="preserve"> IF(B76="","",setValueToTime(B76))</f>
        <v>1h55min</v>
      </c>
      <c r="D76" s="50"/>
      <c r="E76" s="228"/>
      <c r="F76" s="229"/>
      <c r="G76" s="51"/>
    </row>
    <row r="77" spans="1:7" s="52" customFormat="1" x14ac:dyDescent="0.3">
      <c r="A77" s="53" t="s">
        <v>17</v>
      </c>
      <c r="B77" s="54">
        <v>1</v>
      </c>
      <c r="C77" s="153" t="str">
        <f t="shared" ref="C77:C83" si="6" xml:space="preserve"> IF(B77="","",setValueToTime(B77))</f>
        <v>0h5min</v>
      </c>
      <c r="D77" s="55"/>
      <c r="E77" s="220"/>
      <c r="F77" s="221"/>
      <c r="G77" s="51"/>
    </row>
    <row r="78" spans="1:7" s="52" customFormat="1" x14ac:dyDescent="0.3">
      <c r="A78" s="53" t="s">
        <v>16</v>
      </c>
      <c r="B78" s="54">
        <v>3</v>
      </c>
      <c r="C78" s="153" t="str">
        <f t="shared" si="6"/>
        <v>0h15min</v>
      </c>
      <c r="D78" s="55"/>
      <c r="E78" s="220"/>
      <c r="F78" s="221"/>
      <c r="G78" s="51"/>
    </row>
    <row r="79" spans="1:7" s="52" customFormat="1" x14ac:dyDescent="0.3">
      <c r="A79" s="53"/>
      <c r="B79" s="54"/>
      <c r="C79" s="153" t="str">
        <f xml:space="preserve"> IF(B79="","",setValueToTime(B79))</f>
        <v/>
      </c>
      <c r="D79" s="55"/>
      <c r="E79" s="220"/>
      <c r="F79" s="221"/>
      <c r="G79" s="51"/>
    </row>
    <row r="80" spans="1:7" s="52" customFormat="1" x14ac:dyDescent="0.3">
      <c r="A80" s="54"/>
      <c r="B80" s="54"/>
      <c r="C80" s="154" t="str">
        <f xml:space="preserve"> IF(B80="","",setValueToTime(B80))</f>
        <v/>
      </c>
      <c r="D80" s="55"/>
      <c r="E80" s="220"/>
      <c r="F80" s="221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0"/>
      <c r="F81" s="221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0"/>
      <c r="F82" s="221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22"/>
      <c r="F83" s="223"/>
      <c r="G83" s="51"/>
    </row>
    <row r="84" spans="1:7" s="52" customFormat="1" ht="15" thickBot="1" x14ac:dyDescent="0.35">
      <c r="A84" s="111" t="s">
        <v>29</v>
      </c>
      <c r="B84" s="84">
        <f>SUM(B76:B83)</f>
        <v>27</v>
      </c>
      <c r="C84" s="111" t="str">
        <f xml:space="preserve"> setValueToTime(B84)</f>
        <v>2h15min</v>
      </c>
      <c r="D84" s="120"/>
      <c r="E84" s="224"/>
      <c r="F84" s="225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45532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26" t="s">
        <v>14</v>
      </c>
      <c r="F87" s="227"/>
      <c r="G87" s="46"/>
    </row>
    <row r="88" spans="1:7" s="52" customFormat="1" x14ac:dyDescent="0.3">
      <c r="A88" s="48" t="s">
        <v>32</v>
      </c>
      <c r="B88" s="49">
        <v>9</v>
      </c>
      <c r="C88" s="152" t="str">
        <f xml:space="preserve"> IF(B88="","",setValueToTime(B88))</f>
        <v>0h45min</v>
      </c>
      <c r="D88" s="50" t="s">
        <v>48</v>
      </c>
      <c r="E88" s="228"/>
      <c r="F88" s="229"/>
      <c r="G88" s="51"/>
    </row>
    <row r="89" spans="1:7" s="52" customFormat="1" x14ac:dyDescent="0.3">
      <c r="A89" s="53" t="s">
        <v>47</v>
      </c>
      <c r="B89" s="54">
        <v>9</v>
      </c>
      <c r="C89" s="153" t="str">
        <f t="shared" ref="C89:C95" si="7" xml:space="preserve"> IF(B89="","",setValueToTime(B89))</f>
        <v>0h45min</v>
      </c>
      <c r="D89" s="55" t="s">
        <v>49</v>
      </c>
      <c r="E89" s="220"/>
      <c r="F89" s="221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20"/>
      <c r="F90" s="221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20"/>
      <c r="F91" s="221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20"/>
      <c r="F92" s="221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20"/>
      <c r="F93" s="221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20"/>
      <c r="F94" s="221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22"/>
      <c r="F95" s="223"/>
      <c r="G95" s="51"/>
    </row>
    <row r="96" spans="1:7" s="52" customFormat="1" ht="15" thickBot="1" x14ac:dyDescent="0.35">
      <c r="A96" s="111" t="s">
        <v>29</v>
      </c>
      <c r="B96" s="84">
        <f>SUM(B88:B95)</f>
        <v>18</v>
      </c>
      <c r="C96" s="111" t="str">
        <f xml:space="preserve"> setValueToTime(B96)</f>
        <v>1h30min</v>
      </c>
      <c r="D96" s="120"/>
      <c r="E96" s="224"/>
      <c r="F96" s="225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</mergeCells>
  <phoneticPr fontId="0" type="noConversion"/>
  <conditionalFormatting sqref="B96">
    <cfRule type="cellIs" dxfId="11" priority="8" operator="greaterThan">
      <formula>60</formula>
    </cfRule>
  </conditionalFormatting>
  <conditionalFormatting sqref="B84">
    <cfRule type="cellIs" dxfId="10" priority="7" operator="greaterThan">
      <formula>60</formula>
    </cfRule>
  </conditionalFormatting>
  <conditionalFormatting sqref="B72">
    <cfRule type="cellIs" dxfId="9" priority="6" operator="greaterThan">
      <formula>60</formula>
    </cfRule>
  </conditionalFormatting>
  <conditionalFormatting sqref="B60">
    <cfRule type="cellIs" dxfId="8" priority="5" operator="greaterThan">
      <formula>60</formula>
    </cfRule>
  </conditionalFormatting>
  <conditionalFormatting sqref="B48">
    <cfRule type="cellIs" dxfId="7" priority="4" operator="greaterThan">
      <formula>60</formula>
    </cfRule>
  </conditionalFormatting>
  <conditionalFormatting sqref="B36">
    <cfRule type="cellIs" dxfId="6" priority="3" operator="greaterThan">
      <formula>60</formula>
    </cfRule>
  </conditionalFormatting>
  <conditionalFormatting sqref="B24">
    <cfRule type="cellIs" dxfId="5" priority="2" operator="greaterThan">
      <formula>60</formula>
    </cfRule>
  </conditionalFormatting>
  <conditionalFormatting sqref="B12">
    <cfRule type="cellIs" dxfId="4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28:B35 B76:B83 B64:B71 B4:B11 B52:B59 B40:B47 B16:B23" xr:uid="{362C7519-D1B7-4501-AE35-53B15E33CEF9}">
      <formula1>0</formula1>
    </dataValidation>
    <dataValidation type="list" allowBlank="1" showInputMessage="1" showErrorMessage="1" sqref="A88:A95 A28:A35 A76:A83 A64:A71 A4:A11 A52:A59 A40:A47 A16:A23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25"/>
  <sheetViews>
    <sheetView showGridLines="0" zoomScaleNormal="100" zoomScaleSheetLayoutView="98" workbookViewId="0">
      <pane ySplit="1" topLeftCell="A2" activePane="bottomLeft" state="frozen"/>
      <selection pane="bottomLeft" activeCell="D8" sqref="D8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9.425781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2</v>
      </c>
      <c r="C2" s="164"/>
      <c r="D2" s="157" t="s">
        <v>15</v>
      </c>
      <c r="E2" s="158" t="s">
        <v>55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32" t="s">
        <v>14</v>
      </c>
      <c r="F3" s="233"/>
      <c r="G3" s="46"/>
    </row>
    <row r="4" spans="1:7" s="52" customFormat="1" ht="27" x14ac:dyDescent="0.3">
      <c r="A4" s="48" t="s">
        <v>17</v>
      </c>
      <c r="B4" s="49">
        <v>1</v>
      </c>
      <c r="C4" s="152" t="str">
        <f xml:space="preserve"> IF(B4="","",setValueToTime(B4))</f>
        <v>0h5min</v>
      </c>
      <c r="D4" s="50"/>
      <c r="E4" s="228"/>
      <c r="F4" s="229"/>
      <c r="G4" s="51"/>
    </row>
    <row r="5" spans="1:7" s="52" customFormat="1" x14ac:dyDescent="0.3">
      <c r="A5" s="53" t="s">
        <v>60</v>
      </c>
      <c r="B5" s="54">
        <v>18</v>
      </c>
      <c r="C5" s="153" t="str">
        <f t="shared" ref="C5:C11" si="0" xml:space="preserve"> IF(B5="","",setValueToTime(B5))</f>
        <v>1h30min</v>
      </c>
      <c r="D5" s="55"/>
      <c r="E5" s="220"/>
      <c r="F5" s="221"/>
      <c r="G5" s="51"/>
    </row>
    <row r="6" spans="1:7" s="52" customFormat="1" x14ac:dyDescent="0.3">
      <c r="A6" s="53" t="s">
        <v>52</v>
      </c>
      <c r="B6" s="54">
        <v>8</v>
      </c>
      <c r="C6" s="153" t="str">
        <f t="shared" si="0"/>
        <v>0h40min</v>
      </c>
      <c r="D6" s="55"/>
      <c r="E6" s="220"/>
      <c r="F6" s="221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0"/>
      <c r="F7" s="22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0"/>
      <c r="F8" s="22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0"/>
      <c r="F9" s="221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0"/>
      <c r="F10" s="221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2"/>
      <c r="F11" s="223"/>
      <c r="G11" s="51"/>
    </row>
    <row r="12" spans="1:7" s="52" customFormat="1" ht="15" thickBot="1" x14ac:dyDescent="0.35">
      <c r="A12" s="162" t="s">
        <v>29</v>
      </c>
      <c r="B12" s="83">
        <f>SUM(B4:B11)</f>
        <v>27</v>
      </c>
      <c r="C12" s="162" t="str">
        <f xml:space="preserve"> setValueToTime(B12)</f>
        <v>2h15min</v>
      </c>
      <c r="D12" s="121"/>
      <c r="E12" s="230"/>
      <c r="F12" s="231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1</v>
      </c>
      <c r="C14" s="164"/>
      <c r="D14" s="157" t="s">
        <v>15</v>
      </c>
      <c r="E14" s="158">
        <v>45532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32" t="s">
        <v>14</v>
      </c>
      <c r="F15" s="233"/>
      <c r="G15" s="46"/>
    </row>
    <row r="16" spans="1:7" s="52" customFormat="1" x14ac:dyDescent="0.3">
      <c r="A16" s="48" t="s">
        <v>60</v>
      </c>
      <c r="B16" s="49">
        <v>20</v>
      </c>
      <c r="C16" s="152" t="str">
        <f xml:space="preserve"> IF(B16="","",setValueToTime(B16))</f>
        <v>1h40min</v>
      </c>
      <c r="D16" s="50" t="s">
        <v>61</v>
      </c>
      <c r="E16" s="228"/>
      <c r="F16" s="229"/>
      <c r="G16" s="51"/>
    </row>
    <row r="17" spans="1:7" s="52" customFormat="1" ht="27" x14ac:dyDescent="0.3">
      <c r="A17" s="53" t="s">
        <v>17</v>
      </c>
      <c r="B17" s="54">
        <v>4</v>
      </c>
      <c r="C17" s="153" t="str">
        <f t="shared" ref="C17:C23" si="1" xml:space="preserve"> IF(B17="","",setValueToTime(B17))</f>
        <v>0h20min</v>
      </c>
      <c r="D17" s="55" t="s">
        <v>62</v>
      </c>
      <c r="E17" s="220"/>
      <c r="F17" s="221"/>
      <c r="G17" s="51"/>
    </row>
    <row r="18" spans="1:7" s="52" customFormat="1" x14ac:dyDescent="0.3">
      <c r="A18" s="53" t="s">
        <v>16</v>
      </c>
      <c r="B18" s="54">
        <v>3</v>
      </c>
      <c r="C18" s="153" t="str">
        <f t="shared" si="1"/>
        <v>0h15min</v>
      </c>
      <c r="D18" s="55"/>
      <c r="E18" s="220"/>
      <c r="F18" s="221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0"/>
      <c r="F19" s="221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0"/>
      <c r="F20" s="221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0"/>
      <c r="F21" s="221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0"/>
      <c r="F22" s="221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2"/>
      <c r="F23" s="223"/>
      <c r="G23" s="51"/>
    </row>
    <row r="24" spans="1:7" s="52" customFormat="1" ht="15" thickBot="1" x14ac:dyDescent="0.35">
      <c r="A24" s="162" t="s">
        <v>29</v>
      </c>
      <c r="B24" s="83">
        <f>SUM(B16:B23)</f>
        <v>27</v>
      </c>
      <c r="C24" s="162" t="str">
        <f xml:space="preserve"> setValueToTime(B24)</f>
        <v>2h15min</v>
      </c>
      <c r="D24" s="121"/>
      <c r="E24" s="230"/>
      <c r="F24" s="231"/>
      <c r="G24" s="51"/>
    </row>
    <row r="25" spans="1:7" s="59" customFormat="1" x14ac:dyDescent="0.3">
      <c r="A25" s="77"/>
      <c r="B25" s="77"/>
      <c r="C25" s="77"/>
      <c r="D25" s="77"/>
      <c r="E25" s="77"/>
      <c r="F25" s="77"/>
      <c r="G25" s="58"/>
    </row>
  </sheetData>
  <sheetProtection formatRows="0" insertRows="0" insertHyperlinks="0" deleteRows="0" selectLockedCells="1"/>
  <mergeCells count="20"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20:F20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6:B23 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4 B12" xr:uid="{102994D9-AA17-4E67-AC14-438B01A84798}">
      <formula1>0</formula1>
      <formula2>60</formula2>
    </dataValidation>
    <dataValidation type="list" allowBlank="1" showInputMessage="1" showErrorMessage="1" sqref="A16:A23 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8"/>
      <c r="B10" s="188"/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88"/>
      <c r="AE10" s="188"/>
      <c r="AF10" s="188"/>
      <c r="AG10" s="188"/>
      <c r="AH10" s="188"/>
      <c r="AI10" s="188"/>
      <c r="AJ10" s="188"/>
      <c r="AK10" s="188"/>
      <c r="AL10" s="188"/>
      <c r="AM10" s="188"/>
      <c r="AN10" s="188"/>
      <c r="AO10" s="188"/>
      <c r="AP10" s="188"/>
      <c r="AQ10" s="188"/>
      <c r="AR10" s="188"/>
      <c r="AS10" s="188"/>
      <c r="AT10" s="188"/>
      <c r="AU10" s="188"/>
      <c r="AV10" s="188"/>
      <c r="AW10" s="188"/>
      <c r="AX10" s="188"/>
      <c r="AY10" s="188"/>
      <c r="AZ10" s="188"/>
      <c r="BA10" s="188"/>
      <c r="BB10" s="188"/>
      <c r="BC10" s="188"/>
      <c r="BD10" s="188"/>
      <c r="BE10" s="188"/>
      <c r="BF10" s="188"/>
      <c r="BG10" s="188"/>
      <c r="BH10" s="188"/>
      <c r="BI10" s="90"/>
    </row>
    <row r="11" spans="1:61" ht="18" x14ac:dyDescent="0.25">
      <c r="A11" s="189"/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90"/>
    </row>
    <row r="12" spans="1:61" ht="18.75" thickBot="1" x14ac:dyDescent="0.3">
      <c r="A12" s="190"/>
      <c r="B12" s="190"/>
      <c r="C12" s="190"/>
      <c r="D12" s="190"/>
      <c r="E12" s="190"/>
      <c r="F12" s="190"/>
      <c r="G12" s="190"/>
      <c r="H12" s="190"/>
      <c r="I12" s="190"/>
      <c r="J12" s="190"/>
      <c r="K12" s="190"/>
      <c r="L12" s="190"/>
      <c r="M12" s="190"/>
      <c r="N12" s="190"/>
      <c r="O12" s="190"/>
      <c r="P12" s="190"/>
      <c r="Q12" s="190"/>
      <c r="R12" s="190"/>
      <c r="S12" s="190"/>
      <c r="T12" s="190"/>
      <c r="U12" s="190"/>
      <c r="V12" s="190"/>
      <c r="W12" s="190"/>
      <c r="X12" s="190"/>
      <c r="Y12" s="190"/>
      <c r="Z12" s="190"/>
      <c r="AA12" s="190"/>
      <c r="AB12" s="190"/>
      <c r="AC12" s="190"/>
      <c r="AD12" s="190"/>
      <c r="AE12" s="190"/>
      <c r="AF12" s="190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90"/>
    </row>
    <row r="13" spans="1:61" ht="18.75" thickBot="1" x14ac:dyDescent="0.3">
      <c r="A13" s="191" t="s">
        <v>12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3"/>
      <c r="BI13" s="90"/>
    </row>
    <row r="14" spans="1:61" ht="15.75" thickBot="1" x14ac:dyDescent="0.35">
      <c r="A14" s="103"/>
      <c r="B14" s="104"/>
      <c r="C14" s="104"/>
      <c r="D14" s="104"/>
      <c r="E14" s="194" t="s">
        <v>36</v>
      </c>
      <c r="F14" s="194"/>
      <c r="G14" s="194"/>
      <c r="H14" s="194"/>
      <c r="I14" s="104"/>
      <c r="J14" s="104"/>
      <c r="K14" s="195" t="s">
        <v>24</v>
      </c>
      <c r="L14" s="195"/>
      <c r="M14" s="195"/>
      <c r="N14" s="195"/>
      <c r="O14" s="129"/>
      <c r="P14" s="129"/>
      <c r="Q14" s="194" t="s">
        <v>37</v>
      </c>
      <c r="R14" s="194"/>
      <c r="S14" s="194"/>
      <c r="T14" s="194"/>
      <c r="U14" s="104"/>
      <c r="V14" s="104"/>
      <c r="W14" s="195" t="s">
        <v>25</v>
      </c>
      <c r="X14" s="195"/>
      <c r="Y14" s="195"/>
      <c r="Z14" s="195"/>
      <c r="AA14" s="129"/>
      <c r="AB14" s="129"/>
      <c r="AC14" s="194" t="s">
        <v>38</v>
      </c>
      <c r="AD14" s="194"/>
      <c r="AE14" s="194"/>
      <c r="AF14" s="194"/>
      <c r="AG14" s="104"/>
      <c r="AH14" s="104"/>
      <c r="AI14" s="195" t="s">
        <v>26</v>
      </c>
      <c r="AJ14" s="195"/>
      <c r="AK14" s="195"/>
      <c r="AL14" s="195"/>
      <c r="AM14" s="129"/>
      <c r="AN14" s="129"/>
      <c r="AO14" s="194" t="s">
        <v>39</v>
      </c>
      <c r="AP14" s="194"/>
      <c r="AQ14" s="194"/>
      <c r="AR14" s="194"/>
      <c r="AS14" s="104"/>
      <c r="AT14" s="104"/>
      <c r="AU14" s="195" t="s">
        <v>27</v>
      </c>
      <c r="AV14" s="195"/>
      <c r="AW14" s="195"/>
      <c r="AX14" s="195"/>
      <c r="AY14" s="129"/>
      <c r="AZ14" s="129"/>
      <c r="BA14" s="194" t="s">
        <v>40</v>
      </c>
      <c r="BB14" s="194"/>
      <c r="BC14" s="194"/>
      <c r="BD14" s="194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26" t="s">
        <v>14</v>
      </c>
      <c r="F2" s="227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8"/>
      <c r="F3" s="229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0"/>
      <c r="F4" s="221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0"/>
      <c r="F5" s="22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0"/>
      <c r="F6" s="221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0"/>
      <c r="F7" s="22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0"/>
      <c r="F8" s="22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0"/>
      <c r="F9" s="221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2"/>
      <c r="F10" s="223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24"/>
      <c r="F11" s="22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32" t="s">
        <v>14</v>
      </c>
      <c r="F2" s="233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8"/>
      <c r="F3" s="229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0"/>
      <c r="F4" s="221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0"/>
      <c r="F5" s="22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0"/>
      <c r="F6" s="221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0"/>
      <c r="F7" s="22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0"/>
      <c r="F8" s="22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0"/>
      <c r="F9" s="221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2"/>
      <c r="F10" s="223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30"/>
      <c r="F11" s="23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2024-09-11T08:23:17Z</dcterms:modified>
</cp:coreProperties>
</file>